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2" activeTab="3" autoFilterDateGrouping="1"/>
  </bookViews>
  <sheets>
    <sheet xmlns:r="http://schemas.openxmlformats.org/officeDocument/2006/relationships" name="Bench Master" sheetId="1" state="visible" r:id="rId1"/>
    <sheet xmlns:r="http://schemas.openxmlformats.org/officeDocument/2006/relationships" name="Aging Report" sheetId="2" state="visible" r:id="rId2"/>
    <sheet xmlns:r="http://schemas.openxmlformats.org/officeDocument/2006/relationships" name="Pool Review Log" sheetId="3" state="visible" r:id="rId3"/>
    <sheet xmlns:r="http://schemas.openxmlformats.org/officeDocument/2006/relationships" name="Skill Matrix" sheetId="4" state="visible" r:id="rId4"/>
    <sheet xmlns:r="http://schemas.openxmlformats.org/officeDocument/2006/relationships" name="Training Tracker" sheetId="5" state="visible" r:id="rId5"/>
    <sheet xmlns:r="http://schemas.openxmlformats.org/officeDocument/2006/relationships" name="Demand Pipeline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Config &amp; Lookups" sheetId="8" state="visible" r:id="rId8"/>
  </sheets>
  <definedNames>
    <definedName name="_xlnm._FilterDatabase" localSheetId="0" hidden="1">'Bench Master'!$A$1:$R$10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Pipeline'!$A$1:$M$9</definedName>
  </definedNames>
  <calcPr calcId="191028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"/>
    <numFmt numFmtId="166" formatCode="dd\-mmm\-yy"/>
    <numFmt numFmtId="167" formatCode="0\%"/>
    <numFmt numFmtId="168" formatCode="DD-MMM-YY"/>
    <numFmt numFmtId="169" formatCode="yyyy-mm-dd h:mm:ss"/>
  </numFmts>
  <fonts count="40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b val="1"/>
      <color rgb="FFFFFFFF"/>
      <sz val="10"/>
    </font>
    <font>
      <name val="Arial"/>
      <color rgb="FF1F2D3D"/>
      <sz val="10"/>
    </font>
    <font>
      <name val="Arial"/>
      <b val="1"/>
      <color rgb="FFFFFFFF"/>
      <sz val="12"/>
    </font>
    <font>
      <name val="Arial"/>
      <b val="1"/>
      <color rgb="FF1F2D3D"/>
      <sz val="10"/>
    </font>
    <font>
      <name val="Arial"/>
      <b val="1"/>
      <color rgb="FFFFFFFF"/>
      <sz val="14"/>
    </font>
    <font>
      <name val="Arial"/>
      <b val="1"/>
      <color rgb="FF1F2D3D"/>
      <sz val="20"/>
    </font>
    <font>
      <name val="Arial"/>
      <i val="1"/>
      <color rgb="FF888780"/>
      <sz val="9"/>
    </font>
    <font>
      <name val="Arial"/>
      <i val="1"/>
      <color rgb="FF2E5FA3"/>
      <sz val="10"/>
    </font>
    <font>
      <name val="Arial"/>
      <b val="1"/>
      <color rgb="FFFFFFFF"/>
      <sz val="11"/>
    </font>
    <font>
      <name val="Arial"/>
      <i val="1"/>
      <color rgb="FF7F77DD"/>
      <sz val="10"/>
    </font>
    <font>
      <name val="Arial"/>
      <color rgb="FFB45309"/>
      <sz val="10"/>
    </font>
    <font>
      <name val="Arial"/>
      <color rgb="FF7F77DD"/>
      <sz val="10"/>
    </font>
    <font>
      <name val="Calibri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  <scheme val="minor"/>
    </font>
    <font>
      <name val="Arial"/>
      <color rgb="001F2D3D"/>
      <sz val="10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7B1F1F"/>
      <sz val="10"/>
    </font>
    <font>
      <name val="Arial"/>
      <b val="1"/>
      <color rgb="00E24B4A"/>
      <sz val="10"/>
    </font>
    <font>
      <name val="Arial"/>
      <b val="1"/>
      <color rgb="00E8590C"/>
      <sz val="10"/>
    </font>
    <font>
      <name val="Arial"/>
      <b val="1"/>
      <color rgb="001D9E75"/>
      <sz val="10"/>
    </font>
    <font>
      <name val="Arial"/>
      <i val="1"/>
      <color rgb="00888780"/>
      <sz val="10"/>
    </font>
    <font>
      <name val="Arial"/>
      <b val="1"/>
      <color rgb="007B1F1F"/>
      <sz val="11"/>
    </font>
    <font>
      <name val="Arial"/>
      <b val="1"/>
      <color rgb="007B1F1F"/>
      <sz val="9"/>
    </font>
    <font>
      <name val="Arial"/>
      <i val="1"/>
      <color rgb="001D9E75"/>
      <sz val="10"/>
    </font>
    <font>
      <name val="Arial"/>
      <b val="1"/>
      <color rgb="00E24B4A"/>
      <sz val="11"/>
    </font>
    <font>
      <name val="Arial"/>
      <b val="1"/>
      <color rgb="00E24B4A"/>
      <sz val="9"/>
    </font>
    <font>
      <name val="Arial"/>
      <b val="1"/>
      <color rgb="00E8590C"/>
      <sz val="11"/>
    </font>
    <font>
      <name val="Arial"/>
      <b val="1"/>
      <color rgb="00E8590C"/>
      <sz val="9"/>
    </font>
    <font>
      <name val="Arial"/>
      <b val="1"/>
      <color rgb="001D9E75"/>
      <sz val="11"/>
    </font>
    <font>
      <name val="Arial"/>
      <b val="1"/>
      <color rgb="001D9E75"/>
      <sz val="9"/>
    </font>
    <font>
      <name val="Arial"/>
      <b val="1"/>
      <color rgb="00FFFFFF"/>
      <sz val="9"/>
    </font>
    <font>
      <name val="Arial"/>
      <b val="1"/>
      <color rgb="001F2D3D"/>
      <sz val="20"/>
    </font>
    <font>
      <name val="Arial"/>
      <i val="1"/>
      <color rgb="00888780"/>
      <sz val="9"/>
    </font>
    <font>
      <name val="Arial"/>
      <i val="1"/>
      <color rgb="007B1F1F"/>
      <sz val="10"/>
    </font>
    <font>
      <name val="Arial"/>
      <color rgb="001F2D3D"/>
      <sz val="9"/>
    </font>
  </fonts>
  <fills count="26">
    <fill>
      <patternFill/>
    </fill>
    <fill>
      <patternFill patternType="gray125"/>
    </fill>
    <fill>
      <patternFill patternType="solid">
        <fgColor rgb="FF1F2D3D"/>
      </patternFill>
    </fill>
    <fill>
      <patternFill patternType="solid">
        <fgColor rgb="FF2E5FA3"/>
      </patternFill>
    </fill>
    <fill>
      <patternFill patternType="solid">
        <fgColor rgb="FFFFFFFF"/>
      </patternFill>
    </fill>
    <fill>
      <patternFill patternType="solid">
        <fgColor rgb="FFF5F5F2"/>
      </patternFill>
    </fill>
    <fill>
      <patternFill patternType="solid">
        <fgColor rgb="FF1D9E75"/>
      </patternFill>
    </fill>
    <fill>
      <patternFill patternType="solid">
        <fgColor rgb="FFF59E0B"/>
      </patternFill>
    </fill>
    <fill>
      <patternFill patternType="solid">
        <fgColor rgb="FFE24B4A"/>
      </patternFill>
    </fill>
    <fill>
      <patternFill patternType="solid">
        <fgColor rgb="FFD6E4F7"/>
      </patternFill>
    </fill>
    <fill>
      <patternFill patternType="solid">
        <fgColor rgb="FF7F77DD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AEEDA"/>
      </patternFill>
    </fill>
    <fill>
      <patternFill patternType="solid">
        <fgColor rgb="00F5F5F2"/>
      </patternFill>
    </fill>
    <fill>
      <patternFill patternType="solid">
        <fgColor rgb="007F77DD"/>
      </patternFill>
    </fill>
    <fill>
      <patternFill patternType="solid">
        <fgColor rgb="00FFFFFF"/>
      </patternFill>
    </fill>
    <fill>
      <patternFill patternType="solid">
        <fgColor rgb="001F2D3D"/>
      </patternFill>
    </fill>
    <fill>
      <patternFill patternType="solid">
        <fgColor rgb="00F5E0E0"/>
      </patternFill>
    </fill>
    <fill>
      <patternFill patternType="solid">
        <fgColor rgb="00FCEBEB"/>
      </patternFill>
    </fill>
    <fill>
      <patternFill patternType="solid">
        <fgColor rgb="00FAEEDA"/>
      </patternFill>
    </fill>
    <fill>
      <patternFill patternType="solid">
        <fgColor rgb="00E1F5EE"/>
      </patternFill>
    </fill>
    <fill>
      <patternFill patternType="solid">
        <fgColor rgb="007B1F1F"/>
      </patternFill>
    </fill>
    <fill>
      <patternFill patternType="solid">
        <fgColor rgb="00E24B4A"/>
      </patternFill>
    </fill>
    <fill>
      <patternFill patternType="solid">
        <fgColor rgb="00E8590C"/>
      </patternFill>
    </fill>
    <fill>
      <patternFill patternType="solid">
        <fgColor rgb="001D9E75"/>
      </patternFill>
    </fill>
  </fills>
  <borders count="14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D3D1C7"/>
      </top>
      <bottom/>
      <diagonal/>
    </border>
    <border>
      <left/>
      <right style="thin">
        <color rgb="FFD3D1C7"/>
      </right>
      <top style="thin">
        <color rgb="FFD3D1C7"/>
      </top>
      <bottom/>
      <diagonal/>
    </border>
    <border>
      <left style="thin">
        <color rgb="00D3D1C7"/>
      </left>
      <right style="thin">
        <color rgb="00D3D1C7"/>
      </right>
      <top style="thin">
        <color rgb="00D3D1C7"/>
      </top>
      <bottom style="thin">
        <color rgb="00D3D1C7"/>
      </bottom>
    </border>
    <border>
      <left/>
      <right/>
      <top style="thin">
        <color rgb="00D3D1C7"/>
      </top>
      <bottom/>
      <diagonal/>
    </border>
    <border>
      <left/>
      <right style="thin">
        <color rgb="00D3D1C7"/>
      </right>
      <top style="thin">
        <color rgb="00D3D1C7"/>
      </top>
      <bottom/>
      <diagonal/>
    </border>
    <border>
      <left/>
      <right style="thin">
        <color rgb="00D3D1C7"/>
      </right>
      <top style="thin">
        <color rgb="00D3D1C7"/>
      </top>
      <bottom style="thin">
        <color rgb="00D3D1C7"/>
      </bottom>
      <diagonal/>
    </border>
    <border>
      <left/>
      <right/>
      <top style="thin">
        <color rgb="00D3D1C7"/>
      </top>
      <bottom style="thin">
        <color rgb="00D3D1C7"/>
      </bottom>
      <diagonal/>
    </border>
  </borders>
  <cellStyleXfs count="1">
    <xf numFmtId="0" fontId="17" fillId="0" borderId="0"/>
  </cellStyleXfs>
  <cellXfs count="113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left" vertical="center" wrapText="1"/>
    </xf>
    <xf numFmtId="165" fontId="3" fillId="5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left" vertical="center" wrapText="1"/>
    </xf>
    <xf numFmtId="9" fontId="3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167" fontId="3" fillId="4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15" fontId="3" fillId="4" borderId="1" applyAlignment="1" pivotButton="0" quotePrefix="0" xfId="0">
      <alignment horizontal="left" vertical="center" wrapText="1"/>
    </xf>
    <xf numFmtId="0" fontId="15" fillId="0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5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164" fontId="3" fillId="5" borderId="5" applyAlignment="1" pivotButton="0" quotePrefix="0" xfId="0">
      <alignment horizontal="left" vertical="center" wrapText="1"/>
    </xf>
    <xf numFmtId="0" fontId="3" fillId="4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6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16" fillId="0" borderId="4" applyAlignment="1" pivotButton="0" quotePrefix="0" xfId="0">
      <alignment horizontal="center" vertical="center"/>
    </xf>
    <xf numFmtId="0" fontId="0" fillId="0" borderId="6" pivotButton="0" quotePrefix="0" xfId="0"/>
    <xf numFmtId="0" fontId="17" fillId="0" borderId="4" applyAlignment="1" pivotButton="0" quotePrefix="0" xfId="0">
      <alignment horizontal="center" vertical="center"/>
    </xf>
    <xf numFmtId="0" fontId="0" fillId="0" borderId="6" applyAlignment="1" pivotButton="0" quotePrefix="0" xfId="0">
      <alignment wrapText="1"/>
    </xf>
    <xf numFmtId="15" fontId="0" fillId="0" borderId="4" pivotButton="0" quotePrefix="0" xfId="0"/>
    <xf numFmtId="0" fontId="3" fillId="5" borderId="4" applyAlignment="1" pivotButton="0" quotePrefix="0" xfId="0">
      <alignment horizontal="left" vertical="center" wrapText="1"/>
    </xf>
    <xf numFmtId="0" fontId="17" fillId="0" borderId="4" applyAlignment="1" pivotButton="0" quotePrefix="0" xfId="0">
      <alignment horizontal="left" vertical="center"/>
    </xf>
    <xf numFmtId="0" fontId="15" fillId="0" borderId="4" pivotButton="0" quotePrefix="0" xfId="0"/>
    <xf numFmtId="165" fontId="3" fillId="5" borderId="5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1" fontId="18" fillId="4" borderId="9" applyAlignment="1" pivotButton="0" quotePrefix="0" xfId="0">
      <alignment horizontal="center" vertical="center" wrapText="1"/>
    </xf>
    <xf numFmtId="168" fontId="18" fillId="0" borderId="9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169" fontId="0" fillId="0" borderId="4" pivotButton="0" quotePrefix="0" xfId="0"/>
    <xf numFmtId="1" fontId="18" fillId="0" borderId="9" applyAlignment="1" pivotButton="0" quotePrefix="0" xfId="0">
      <alignment horizontal="center" vertical="center" wrapText="1"/>
    </xf>
    <xf numFmtId="169" fontId="0" fillId="0" borderId="6" pivotButton="0" quotePrefix="0" xfId="0"/>
    <xf numFmtId="1" fontId="3" fillId="4" borderId="1" applyAlignment="1" pivotButton="0" quotePrefix="0" xfId="0">
      <alignment horizontal="left" vertical="center" wrapText="1"/>
    </xf>
    <xf numFmtId="1" fontId="7" fillId="4" borderId="1" applyAlignment="1" pivotButton="0" quotePrefix="0" xfId="0">
      <alignment horizontal="center" vertical="center" wrapText="1"/>
    </xf>
    <xf numFmtId="0" fontId="18" fillId="14" borderId="9" applyAlignment="1" pivotButton="0" quotePrefix="0" xfId="0">
      <alignment horizontal="left" vertical="center" wrapText="1"/>
    </xf>
    <xf numFmtId="0" fontId="19" fillId="15" borderId="9" applyAlignment="1" pivotButton="0" quotePrefix="0" xfId="0">
      <alignment horizontal="center" vertical="center" wrapText="1"/>
    </xf>
    <xf numFmtId="0" fontId="18" fillId="16" borderId="9" applyAlignment="1" pivotButton="0" quotePrefix="0" xfId="0">
      <alignment horizontal="left" vertical="center" wrapText="1"/>
    </xf>
    <xf numFmtId="0" fontId="19" fillId="17" borderId="9" applyAlignment="1" pivotButton="0" quotePrefix="0" xfId="0">
      <alignment horizontal="center" vertical="center" wrapText="1"/>
    </xf>
    <xf numFmtId="0" fontId="20" fillId="17" borderId="0" applyAlignment="1" pivotButton="0" quotePrefix="0" xfId="0">
      <alignment horizontal="center" vertical="center" wrapText="1"/>
    </xf>
    <xf numFmtId="0" fontId="21" fillId="18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22" fillId="19" borderId="9" applyAlignment="1" pivotButton="0" quotePrefix="0" xfId="0">
      <alignment horizontal="center" vertical="center" wrapText="1"/>
    </xf>
    <xf numFmtId="0" fontId="23" fillId="20" borderId="9" applyAlignment="1" pivotButton="0" quotePrefix="0" xfId="0">
      <alignment horizontal="center" vertical="center" wrapText="1"/>
    </xf>
    <xf numFmtId="0" fontId="24" fillId="21" borderId="9" applyAlignment="1" pivotButton="0" quotePrefix="0" xfId="0">
      <alignment horizontal="center" vertical="center" wrapText="1"/>
    </xf>
    <xf numFmtId="0" fontId="25" fillId="14" borderId="9" applyAlignment="1" pivotButton="0" quotePrefix="0" xfId="0">
      <alignment horizontal="center" vertical="center" wrapText="1"/>
    </xf>
    <xf numFmtId="0" fontId="26" fillId="18" borderId="9" applyAlignment="1" pivotButton="0" quotePrefix="0" xfId="0">
      <alignment horizontal="center" vertical="center" wrapText="1"/>
    </xf>
    <xf numFmtId="0" fontId="27" fillId="18" borderId="9" applyAlignment="1" pivotButton="0" quotePrefix="0" xfId="0">
      <alignment horizontal="center" vertical="center" wrapText="1"/>
    </xf>
    <xf numFmtId="0" fontId="28" fillId="21" borderId="9" applyAlignment="1" pivotButton="0" quotePrefix="0" xfId="0">
      <alignment horizontal="center" vertical="center" wrapText="1"/>
    </xf>
    <xf numFmtId="0" fontId="29" fillId="19" borderId="9" applyAlignment="1" pivotButton="0" quotePrefix="0" xfId="0">
      <alignment horizontal="center" vertical="center" wrapText="1"/>
    </xf>
    <xf numFmtId="0" fontId="30" fillId="19" borderId="9" applyAlignment="1" pivotButton="0" quotePrefix="0" xfId="0">
      <alignment horizontal="center" vertical="center" wrapText="1"/>
    </xf>
    <xf numFmtId="0" fontId="31" fillId="20" borderId="9" applyAlignment="1" pivotButton="0" quotePrefix="0" xfId="0">
      <alignment horizontal="center" vertical="center" wrapText="1"/>
    </xf>
    <xf numFmtId="0" fontId="32" fillId="20" borderId="9" applyAlignment="1" pivotButton="0" quotePrefix="0" xfId="0">
      <alignment horizontal="center" vertical="center" wrapText="1"/>
    </xf>
    <xf numFmtId="0" fontId="33" fillId="21" borderId="9" applyAlignment="1" pivotButton="0" quotePrefix="0" xfId="0">
      <alignment horizontal="center" vertical="center" wrapText="1"/>
    </xf>
    <xf numFmtId="0" fontId="34" fillId="21" borderId="9" applyAlignment="1" pivotButton="0" quotePrefix="0" xfId="0">
      <alignment horizontal="center" vertical="center" wrapText="1"/>
    </xf>
    <xf numFmtId="0" fontId="19" fillId="22" borderId="9" applyAlignment="1" pivotButton="0" quotePrefix="0" xfId="0">
      <alignment horizontal="center" vertical="center" wrapText="1"/>
    </xf>
    <xf numFmtId="0" fontId="35" fillId="22" borderId="9" applyAlignment="1" pivotButton="0" quotePrefix="0" xfId="0">
      <alignment horizontal="center" vertical="center" wrapText="1"/>
    </xf>
    <xf numFmtId="0" fontId="35" fillId="23" borderId="9" applyAlignment="1" pivotButton="0" quotePrefix="0" xfId="0">
      <alignment horizontal="center" vertical="center" wrapText="1"/>
    </xf>
    <xf numFmtId="0" fontId="35" fillId="24" borderId="9" applyAlignment="1" pivotButton="0" quotePrefix="0" xfId="0">
      <alignment horizontal="center" vertical="center" wrapText="1"/>
    </xf>
    <xf numFmtId="0" fontId="35" fillId="25" borderId="9" applyAlignment="1" pivotButton="0" quotePrefix="0" xfId="0">
      <alignment horizontal="center" vertical="center" wrapText="1"/>
    </xf>
    <xf numFmtId="0" fontId="36" fillId="16" borderId="9" applyAlignment="1" pivotButton="0" quotePrefix="0" xfId="0">
      <alignment horizontal="center" vertical="center" wrapText="1"/>
    </xf>
    <xf numFmtId="0" fontId="37" fillId="14" borderId="9" applyAlignment="1" pivotButton="0" quotePrefix="0" xfId="0">
      <alignment horizontal="center" vertical="center" wrapText="1"/>
    </xf>
    <xf numFmtId="0" fontId="38" fillId="18" borderId="9" applyAlignment="1" pivotButton="0" quotePrefix="0" xfId="0">
      <alignment horizontal="left" vertical="center" wrapText="1"/>
    </xf>
    <xf numFmtId="0" fontId="18" fillId="0" borderId="9" applyAlignment="1" pivotButton="0" quotePrefix="0" xfId="0">
      <alignment horizontal="center" vertical="center"/>
    </xf>
    <xf numFmtId="0" fontId="0" fillId="0" borderId="13" pivotButton="0" quotePrefix="0" xfId="0"/>
    <xf numFmtId="0" fontId="26" fillId="18" borderId="9" applyAlignment="1" pivotButton="0" quotePrefix="0" xfId="0">
      <alignment horizontal="center" vertical="center"/>
    </xf>
    <xf numFmtId="0" fontId="27" fillId="18" borderId="9" applyAlignment="1" pivotButton="0" quotePrefix="0" xfId="0">
      <alignment horizontal="center" vertical="center"/>
    </xf>
    <xf numFmtId="0" fontId="39" fillId="14" borderId="9" applyAlignment="1" pivotButton="0" quotePrefix="0" xfId="0">
      <alignment horizontal="center" vertical="center"/>
    </xf>
    <xf numFmtId="0" fontId="39" fillId="14" borderId="9" applyAlignment="1" pivotButton="0" quotePrefix="0" xfId="0">
      <alignment horizontal="left" vertical="center" wrapText="1"/>
    </xf>
    <xf numFmtId="0" fontId="39" fillId="16" borderId="9" applyAlignment="1" pivotButton="0" quotePrefix="0" xfId="0">
      <alignment horizontal="center" vertical="center"/>
    </xf>
    <xf numFmtId="0" fontId="39" fillId="16" borderId="9" applyAlignment="1" pivotButton="0" quotePrefix="0" xfId="0">
      <alignment horizontal="left" vertical="center" wrapText="1"/>
    </xf>
    <xf numFmtId="0" fontId="29" fillId="19" borderId="9" applyAlignment="1" pivotButton="0" quotePrefix="0" xfId="0">
      <alignment horizontal="center" vertical="center"/>
    </xf>
    <xf numFmtId="0" fontId="30" fillId="19" borderId="9" applyAlignment="1" pivotButton="0" quotePrefix="0" xfId="0">
      <alignment horizontal="center" vertical="center"/>
    </xf>
    <xf numFmtId="0" fontId="31" fillId="20" borderId="9" applyAlignment="1" pivotButton="0" quotePrefix="0" xfId="0">
      <alignment horizontal="center" vertical="center"/>
    </xf>
    <xf numFmtId="0" fontId="32" fillId="20" borderId="9" applyAlignment="1" pivotButton="0" quotePrefix="0" xfId="0">
      <alignment horizontal="center" vertical="center"/>
    </xf>
    <xf numFmtId="0" fontId="33" fillId="21" borderId="9" applyAlignment="1" pivotButton="0" quotePrefix="0" xfId="0">
      <alignment horizontal="center" vertical="center"/>
    </xf>
    <xf numFmtId="0" fontId="34" fillId="21" borderId="9" applyAlignment="1" pivotButton="0" quotePrefix="0" xfId="0">
      <alignment horizontal="center" vertical="center"/>
    </xf>
  </cellXfs>
  <cellStyles count="1">
    <cellStyle name="Normal" xfId="0" builtinId="0"/>
  </cellStyles>
  <dxfs count="35">
    <dxf>
      <font>
        <b val="1"/>
        <color rgb="FFB45309"/>
      </font>
      <fill>
        <patternFill patternType="solid">
          <fgColor rgb="FFFAEEDA"/>
        </patternFill>
      </fill>
    </dxf>
    <dxf>
      <font>
        <b val="1"/>
        <color rgb="FFE24B4A"/>
      </font>
      <fill>
        <patternFill patternType="solid">
          <fgColor rgb="FFFCEBEB"/>
        </patternFill>
      </fill>
    </dxf>
    <dxf>
      <font>
        <b val="1"/>
        <color rgb="FFB45309"/>
      </font>
      <fill>
        <patternFill patternType="solid">
          <fgColor rgb="FFFAEEDA"/>
        </patternFill>
      </fill>
    </dxf>
    <dxf>
      <font>
        <b val="1"/>
        <color rgb="FF1D9E75"/>
      </font>
      <fill>
        <patternFill patternType="solid">
          <fgColor rgb="FFE1F5EE"/>
        </patternFill>
      </fill>
    </dxf>
    <dxf>
      <font>
        <name val="Arial"/>
        <b val="1"/>
        <color rgb="FFB45309"/>
      </font>
      <fill>
        <patternFill patternType="solid">
          <fgColor rgb="FFFAEEDA"/>
        </patternFill>
      </fill>
    </dxf>
    <dxf>
      <font>
        <name val="Arial"/>
        <b val="1"/>
        <color rgb="FFE24B4A"/>
      </font>
      <fill>
        <patternFill patternType="solid">
          <fgColor rgb="FFFCEBEB"/>
        </patternFill>
      </fill>
    </dxf>
    <dxf>
      <font>
        <name val="Arial"/>
        <b val="1"/>
        <color rgb="FF1D9E75"/>
      </font>
      <fill>
        <patternFill patternType="solid">
          <fgColor rgb="FFE1F5EE"/>
        </patternFill>
      </fill>
    </dxf>
    <dxf>
      <font>
        <name val="Arial"/>
        <color rgb="FF7F77DD"/>
      </font>
      <fill>
        <patternFill patternType="solid">
          <fgColor rgb="FFEEEDFE"/>
        </patternFill>
      </fill>
    </dxf>
    <dxf>
      <font>
        <name val="Arial"/>
        <b val="1"/>
        <color rgb="FFE24B4A"/>
      </font>
      <fill>
        <patternFill patternType="solid">
          <fgColor rgb="FFFCEBEB"/>
        </patternFill>
      </fill>
    </dxf>
    <dxf>
      <font>
        <name val="Arial"/>
        <b val="1"/>
        <color rgb="FF7F77DD"/>
      </font>
      <fill>
        <patternFill patternType="solid">
          <fgColor rgb="FFEEEDFE"/>
        </patternFill>
      </fill>
    </dxf>
    <dxf>
      <font>
        <name val="Arial"/>
        <b val="1"/>
        <color rgb="FFB45309"/>
      </font>
      <fill>
        <patternFill patternType="solid">
          <fgColor rgb="FFFAEEDA"/>
        </patternFill>
      </fill>
    </dxf>
    <dxf>
      <font>
        <b val="1"/>
        <color rgb="FF2E5FA3"/>
      </font>
      <fill>
        <patternFill patternType="solid">
          <fgColor rgb="FFD6E4F7"/>
        </patternFill>
      </fill>
    </dxf>
    <dxf>
      <font>
        <b val="1"/>
        <color rgb="FFF59E0B"/>
      </font>
      <fill>
        <patternFill patternType="solid">
          <fgColor rgb="FFFAEEDA"/>
        </patternFill>
      </fill>
    </dxf>
    <dxf>
      <font>
        <b val="1"/>
        <color rgb="FF1D9E75"/>
      </font>
      <fill>
        <patternFill patternType="solid">
          <fgColor rgb="FFE1F5EE"/>
        </patternFill>
      </fill>
    </dxf>
    <dxf>
      <fill>
        <patternFill patternType="solid">
          <fgColor rgb="FFFAEEDA"/>
        </patternFill>
      </fill>
    </dxf>
    <dxf>
      <font>
        <b val="1"/>
        <color rgb="FFE24B4A"/>
      </font>
      <fill>
        <patternFill patternType="solid">
          <fgColor rgb="FFFCEBEB"/>
        </patternFill>
      </fill>
    </dxf>
    <dxf>
      <font>
        <name val="Arial"/>
        <b val="1"/>
        <color rgb="00E24B4A"/>
      </font>
      <fill>
        <patternFill patternType="solid">
          <fgColor rgb="00FCEBEB"/>
        </patternFill>
      </fill>
    </dxf>
    <dxf>
      <fill>
        <patternFill patternType="solid">
          <fgColor rgb="00FAEEDA"/>
        </patternFill>
      </fill>
    </dxf>
    <dxf>
      <font>
        <name val="Arial"/>
        <b val="1"/>
        <color rgb="001D9E75"/>
      </font>
      <fill>
        <patternFill patternType="solid">
          <fgColor rgb="00E1F5EE"/>
        </patternFill>
      </fill>
    </dxf>
    <dxf>
      <font>
        <name val="Arial"/>
        <b val="1"/>
        <color rgb="00F59E0B"/>
      </font>
      <fill>
        <patternFill patternType="solid">
          <fgColor rgb="00FAEEDA"/>
        </patternFill>
      </fill>
    </dxf>
    <dxf>
      <font>
        <name val="Arial"/>
        <b val="1"/>
        <color rgb="002E5FA3"/>
      </font>
      <fill>
        <patternFill patternType="solid">
          <fgColor rgb="00D6E4F7"/>
        </patternFill>
      </fill>
    </dxf>
    <dxf>
      <font>
        <name val="Arial"/>
        <b val="1"/>
        <color rgb="00E8590C"/>
      </font>
      <fill>
        <patternFill patternType="solid">
          <fgColor rgb="00FDEBD0"/>
        </patternFill>
      </fill>
    </dxf>
    <dxf>
      <font>
        <name val="Arial"/>
        <b val="1"/>
        <color rgb="002E7D32"/>
      </font>
      <fill>
        <patternFill patternType="solid">
          <fgColor rgb="00E8F4E8"/>
        </patternFill>
      </fill>
    </dxf>
    <dxf>
      <font>
        <name val="Arial"/>
        <b val="1"/>
        <color rgb="002E5FA3"/>
      </font>
      <fill>
        <patternFill patternType="solid">
          <fgColor rgb="00E3F2FD"/>
        </patternFill>
      </fill>
    </dxf>
    <dxf>
      <font>
        <name val="Arial"/>
        <b val="1"/>
        <color rgb="00B45309"/>
      </font>
      <fill>
        <patternFill patternType="solid">
          <fgColor rgb="00FAEEDA"/>
        </patternFill>
      </fill>
    </dxf>
    <dxf>
      <font>
        <name val="Arial"/>
        <b val="1"/>
        <color rgb="007F77DD"/>
      </font>
      <fill>
        <patternFill patternType="solid">
          <fgColor rgb="00EEEDFE"/>
        </patternFill>
      </fill>
    </dxf>
    <dxf>
      <font>
        <name val="Arial"/>
        <color rgb="007F77DD"/>
      </font>
      <fill>
        <patternFill patternType="solid">
          <fgColor rgb="00EEEDFE"/>
        </patternFill>
      </fill>
    </dxf>
    <dxf>
      <font>
        <name val="Arial"/>
        <b val="1"/>
        <color rgb="007B1FA2"/>
      </font>
      <fill>
        <patternFill patternType="solid">
          <fgColor rgb="00F3E5F5"/>
        </patternFill>
      </fill>
    </dxf>
    <dxf>
      <font>
        <name val="Arial"/>
        <b val="1"/>
        <color rgb="007B1F1F"/>
      </font>
      <fill>
        <patternFill patternType="solid">
          <fgColor rgb="00F5E0E0"/>
        </patternFill>
      </fill>
    </dxf>
    <dxf>
      <font>
        <name val="Arial"/>
        <b val="1"/>
        <color rgb="00E8590C"/>
      </font>
      <fill>
        <patternFill patternType="solid">
          <fgColor rgb="00FAEEDA"/>
        </patternFill>
      </fill>
    </dxf>
    <dxf>
      <font>
        <name val="Arial"/>
        <color rgb="001D9E75"/>
      </font>
      <fill>
        <patternFill patternType="solid">
          <fgColor rgb="00E1F5EE"/>
        </patternFill>
      </fill>
    </dxf>
    <dxf>
      <font>
        <name val="Arial"/>
        <b val="1"/>
        <color rgb="007B1F1F"/>
        <sz val="10"/>
      </font>
      <fill>
        <patternFill patternType="solid">
          <fgColor rgb="00F5E0E0"/>
        </patternFill>
      </fill>
    </dxf>
    <dxf>
      <font>
        <name val="Arial"/>
        <b val="1"/>
        <color rgb="00E24B4A"/>
        <sz val="10"/>
      </font>
      <fill>
        <patternFill patternType="solid">
          <fgColor rgb="00FCEBEB"/>
        </patternFill>
      </fill>
    </dxf>
    <dxf>
      <font>
        <name val="Arial"/>
        <b val="1"/>
        <color rgb="00E8590C"/>
        <sz val="10"/>
      </font>
      <fill>
        <patternFill patternType="solid">
          <fgColor rgb="00FAEEDA"/>
        </patternFill>
      </fill>
    </dxf>
    <dxf>
      <font>
        <name val="Arial"/>
        <b val="1"/>
        <color rgb="001D9E75"/>
        <sz val="10"/>
      </font>
      <fill>
        <patternFill patternType="solid">
          <fgColor rgb="00E1F5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E5FA3"/>
    <outlinePr summaryBelow="1" summaryRight="1"/>
    <pageSetUpPr/>
  </sheetPr>
  <dimension ref="A1:W25"/>
  <sheetViews>
    <sheetView showGridLines="0" workbookViewId="0">
      <pane ySplit="2" topLeftCell="A17" activePane="bottomLeft" state="frozen"/>
      <selection pane="bottomLeft" activeCell="A20" sqref="A20:B24"/>
    </sheetView>
  </sheetViews>
  <sheetFormatPr baseColWidth="8" defaultRowHeight="15"/>
  <cols>
    <col width="10" customWidth="1" style="60" min="1" max="1"/>
    <col width="20" customWidth="1" style="60" min="2" max="2"/>
    <col width="19.5703125" customWidth="1" style="60" min="3" max="3"/>
    <col width="16" customWidth="1" style="60" min="4" max="4"/>
    <col width="10" customWidth="1" style="60" min="5" max="5"/>
    <col width="28.7109375" customWidth="1" style="60" min="6" max="6"/>
    <col width="26.85546875" customWidth="1" style="60" min="7" max="7"/>
    <col width="22" customWidth="1" style="60" min="8" max="8"/>
    <col width="14" customWidth="1" style="60" min="9" max="9"/>
    <col width="16" customWidth="1" style="60" min="10" max="10"/>
    <col width="10" customWidth="1" style="60" min="11" max="11"/>
    <col width="14" customWidth="1" style="60" min="12" max="12"/>
    <col width="18" customWidth="1" style="60" min="13" max="13"/>
    <col width="14" customWidth="1" style="60" min="14" max="14"/>
    <col width="18" customWidth="1" style="60" min="15" max="15"/>
    <col width="22" customWidth="1" style="60" min="16" max="16"/>
    <col width="20" customWidth="1" style="60" min="17" max="17"/>
    <col width="24" customWidth="1" style="60" min="18" max="18"/>
    <col width="11.28515625" customWidth="1" style="60" min="20" max="20"/>
    <col width="19.42578125" customWidth="1" style="60" min="22" max="22"/>
  </cols>
  <sheetData>
    <row r="1" ht="30" customHeight="1" s="60">
      <c r="A1" s="46" t="inlineStr">
        <is>
          <t>BENCH RESOURCE MASTER — Training Head Dashboard</t>
        </is>
      </c>
    </row>
    <row r="2" ht="21.95" customHeight="1" s="60">
      <c r="A2" s="50" t="inlineStr">
        <is>
          <t>Emp ID</t>
        </is>
      </c>
      <c r="B2" s="50" t="inlineStr">
        <is>
          <t>Full Name</t>
        </is>
      </c>
      <c r="C2" s="50" t="inlineStr">
        <is>
          <t>Profile</t>
        </is>
      </c>
      <c r="D2" s="50" t="inlineStr">
        <is>
          <t>Department</t>
        </is>
      </c>
      <c r="E2" s="50" t="inlineStr">
        <is>
          <t>Experience (Yrs)</t>
        </is>
      </c>
      <c r="F2" s="50" t="inlineStr">
        <is>
          <t>Primary Skill</t>
        </is>
      </c>
      <c r="G2" s="50" t="inlineStr">
        <is>
          <t>Secondary Skills</t>
        </is>
      </c>
      <c r="H2" s="50" t="inlineStr">
        <is>
          <t>Certifications</t>
        </is>
      </c>
      <c r="I2" s="50" t="inlineStr">
        <is>
          <t>Bench Start Date</t>
        </is>
      </c>
      <c r="J2" s="50" t="inlineStr">
        <is>
          <t>Expected Allocation Date</t>
        </is>
      </c>
      <c r="K2" s="50" t="inlineStr">
        <is>
          <t>Bench Days</t>
        </is>
      </c>
      <c r="L2" s="50" t="inlineStr">
        <is>
          <t>Status</t>
        </is>
      </c>
      <c r="M2" s="50" t="inlineStr">
        <is>
          <t>Bench Type</t>
        </is>
      </c>
      <c r="N2" s="50" t="inlineStr">
        <is>
          <t>Pool Entry Date</t>
        </is>
      </c>
      <c r="O2" s="50" t="inlineStr">
        <is>
          <t>Review Date (Day 60)</t>
        </is>
      </c>
      <c r="P2" s="50" t="inlineStr">
        <is>
          <t>Pool Status</t>
        </is>
      </c>
      <c r="Q2" s="74" t="inlineStr">
        <is>
          <t>Aging Alert</t>
        </is>
      </c>
      <c r="R2" s="50" t="inlineStr">
        <is>
          <t>Training Program</t>
        </is>
      </c>
      <c r="S2" s="50" t="inlineStr">
        <is>
          <t>Training End Date</t>
        </is>
      </c>
      <c r="T2" s="50" t="inlineStr">
        <is>
          <t>Skill Readiness %</t>
        </is>
      </c>
      <c r="U2" s="50" t="inlineStr">
        <is>
          <t>Preferred Role</t>
        </is>
      </c>
      <c r="V2" s="50" t="inlineStr">
        <is>
          <t>Location</t>
        </is>
      </c>
      <c r="W2" s="50" t="inlineStr">
        <is>
          <t>Remarks</t>
        </is>
      </c>
    </row>
    <row r="3" ht="30.75" customHeight="1" s="60">
      <c r="A3" s="2" t="inlineStr">
        <is>
          <t>EMP001</t>
        </is>
      </c>
      <c r="B3" s="2" t="inlineStr">
        <is>
          <t>Deepak Bharta</t>
        </is>
      </c>
      <c r="C3" s="2" t="inlineStr">
        <is>
          <t>UI/UX designer</t>
        </is>
      </c>
      <c r="D3" s="2" t="inlineStr">
        <is>
          <t>Design</t>
        </is>
      </c>
      <c r="E3" s="2" t="n">
        <v>12</v>
      </c>
      <c r="F3" s="2" t="inlineStr">
        <is>
          <t>Adobe Suite, Figma, Adobe XD</t>
        </is>
      </c>
      <c r="G3" s="2" t="inlineStr">
        <is>
          <t>Apple Sketch</t>
        </is>
      </c>
      <c r="H3" s="2" t="n"/>
      <c r="I3" s="3" t="n">
        <v>44911</v>
      </c>
      <c r="J3" s="3" t="n"/>
      <c r="K3" s="63">
        <f>IF(I3&lt;&gt;"",TODAY()-I3,"")</f>
        <v/>
      </c>
      <c r="L3" s="2" t="inlineStr">
        <is>
          <t>Available</t>
        </is>
      </c>
      <c r="M3" s="14" t="inlineStr">
        <is>
          <t>Innovation Pool</t>
        </is>
      </c>
      <c r="N3" s="15" t="n">
        <v>45889</v>
      </c>
      <c r="O3" s="64">
        <f>IF(M3="Learner Pool",IF(N3&lt;&gt;"",N3+60,""),"N/A")</f>
        <v/>
      </c>
      <c r="P3" s="65">
        <f>IF(M3="Innovation Pool","No duration limit",IF(OR(N3="",O3=""),"—",IF(O3&lt;TODAY(),"⚠ Review Overdue","Review in "&amp;TEXT(O3-TODAY(),"0")&amp;" days")))</f>
        <v/>
      </c>
      <c r="Q3" s="99" t="inlineStr">
        <is>
          <t>🚨 Critical (1Y+)</t>
        </is>
      </c>
      <c r="R3" s="2" t="n"/>
      <c r="S3" s="2" t="n"/>
      <c r="T3" s="2" t="n">
        <v>40</v>
      </c>
      <c r="U3" s="2" t="inlineStr">
        <is>
          <t>Designer</t>
        </is>
      </c>
      <c r="V3" s="2" t="inlineStr">
        <is>
          <t>Remote</t>
        </is>
      </c>
      <c r="W3" s="2" t="inlineStr">
        <is>
          <t>Ready for allocation</t>
        </is>
      </c>
    </row>
    <row r="4" ht="53.25" customHeight="1" s="60">
      <c r="A4" s="5" t="inlineStr">
        <is>
          <t>EMP002</t>
        </is>
      </c>
      <c r="B4" s="5" t="inlineStr">
        <is>
          <t>Parul Paul</t>
        </is>
      </c>
      <c r="C4" s="5" t="inlineStr">
        <is>
          <t>Data Engineer</t>
        </is>
      </c>
      <c r="D4" s="5" t="inlineStr">
        <is>
          <t>Delivery</t>
        </is>
      </c>
      <c r="E4" s="5" t="n">
        <v>5</v>
      </c>
      <c r="F4" s="5" t="inlineStr">
        <is>
          <t xml:space="preserve"> Azure Data Factory, Azure SQL Server, Snowflake , Python , MySQL</t>
        </is>
      </c>
      <c r="G4" s="5" t="inlineStr">
        <is>
          <t>Pyspark, Azure Databricks</t>
        </is>
      </c>
      <c r="H4" s="21" t="inlineStr">
        <is>
      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      </is>
      </c>
      <c r="I4" s="6" t="n">
        <v>45236</v>
      </c>
      <c r="J4" s="6" t="n">
        <v>46259</v>
      </c>
      <c r="K4" s="63">
        <f>IF(I4&lt;&gt;"",TODAY()-I4,"")</f>
        <v/>
      </c>
      <c r="L4" s="5" t="inlineStr">
        <is>
          <t>Partial Available</t>
        </is>
      </c>
      <c r="M4" s="14" t="inlineStr">
        <is>
          <t>Innovation Pool</t>
        </is>
      </c>
      <c r="N4" s="15" t="n">
        <v>45943</v>
      </c>
      <c r="O4" s="64">
        <f>IF(M4="Learner Pool",IF(N4&lt;&gt;"",N4+60,""),"N/A")</f>
        <v/>
      </c>
      <c r="P4" s="65">
        <f>IF(M4="Innovation Pool","No duration limit",IF(OR(N4="",O4=""),"—",IF(O4&lt;TODAY(),"⚠ Review Overdue","Review in "&amp;TEXT(O4-TODAY(),"0")&amp;" days")))</f>
        <v/>
      </c>
      <c r="Q4" s="99" t="inlineStr">
        <is>
          <t>🚨 Critical (1Y+)</t>
        </is>
      </c>
      <c r="R4" s="5" t="inlineStr">
        <is>
          <t>AI Agents</t>
        </is>
      </c>
      <c r="S4" s="6" t="n"/>
      <c r="T4" s="5" t="n">
        <v>65</v>
      </c>
      <c r="U4" s="5" t="inlineStr">
        <is>
          <t>Data Analyst</t>
        </is>
      </c>
      <c r="V4" s="5" t="inlineStr">
        <is>
          <t>Remote</t>
        </is>
      </c>
      <c r="W4" s="5" t="inlineStr">
        <is>
          <t>20 hrs per month in SIG</t>
        </is>
      </c>
    </row>
    <row r="5" ht="51" customHeight="1" s="60">
      <c r="A5" s="2" t="inlineStr">
        <is>
          <t>EMP003</t>
        </is>
      </c>
      <c r="B5" s="2" t="inlineStr">
        <is>
          <t>Nagender Nandrey</t>
        </is>
      </c>
      <c r="C5" s="2" t="inlineStr">
        <is>
          <t>Business Analyst</t>
        </is>
      </c>
      <c r="D5" s="2" t="inlineStr">
        <is>
          <t>Delivery</t>
        </is>
      </c>
      <c r="E5" s="2" t="n">
        <v>3</v>
      </c>
      <c r="F5" s="2" t="inlineStr">
        <is>
          <t>Data Engineering, Databases, Warehousing,Python, SQL, Fabric</t>
        </is>
      </c>
      <c r="G5" s="2" t="n"/>
      <c r="H5" s="22" t="inlineStr">
        <is>
          <t>Oracle Cloud Database Migration and Integration Professional</t>
        </is>
      </c>
      <c r="I5" s="3" t="n">
        <v>45292</v>
      </c>
      <c r="J5" s="3" t="n">
        <v>46258</v>
      </c>
      <c r="K5" s="63">
        <f>IF(I5&lt;&gt;"",TODAY()-I5,"")</f>
        <v/>
      </c>
      <c r="L5" s="5" t="inlineStr">
        <is>
          <t>Available</t>
        </is>
      </c>
      <c r="M5" s="14" t="inlineStr">
        <is>
          <t>Innovation Pool</t>
        </is>
      </c>
      <c r="N5" s="15" t="n">
        <v>45889</v>
      </c>
      <c r="O5" s="64">
        <f>IF(M5="Learner Pool",IF(N5&lt;&gt;"",N5+60,""),"N/A")</f>
        <v/>
      </c>
      <c r="P5" s="65">
        <f>IF(M5="Innovation Pool","No duration limit",IF(OR(N5="",O5=""),"—",IF(O5&lt;TODAY(),"⚠ Review Overdue","Review in "&amp;TEXT(O5-TODAY(),"0")&amp;" days")))</f>
        <v/>
      </c>
      <c r="Q5" s="99" t="inlineStr">
        <is>
          <t>🚨 Critical (1Y+)</t>
        </is>
      </c>
      <c r="R5" s="2" t="inlineStr">
        <is>
          <t>BA learning</t>
        </is>
      </c>
      <c r="S5" s="23" t="n">
        <v>46203</v>
      </c>
      <c r="T5" s="2" t="n">
        <v>50</v>
      </c>
      <c r="U5" s="2" t="inlineStr">
        <is>
          <t>BA</t>
        </is>
      </c>
      <c r="V5" s="2" t="inlineStr">
        <is>
          <t>Remote</t>
        </is>
      </c>
      <c r="W5" s="5" t="inlineStr">
        <is>
          <t>Needs upskilling</t>
        </is>
      </c>
    </row>
    <row r="6" ht="60" customHeight="1" s="60">
      <c r="A6" s="5" t="inlineStr">
        <is>
          <t>EMP004</t>
        </is>
      </c>
      <c r="B6" s="5" t="inlineStr">
        <is>
          <t>Nishita Toshi</t>
        </is>
      </c>
      <c r="C6" s="5" t="inlineStr">
        <is>
          <t>Data Quality</t>
        </is>
      </c>
      <c r="D6" s="5" t="inlineStr">
        <is>
          <t>Delivery</t>
        </is>
      </c>
      <c r="E6" s="5" t="n">
        <v>5</v>
      </c>
      <c r="F6" s="5" t="inlineStr">
        <is>
          <t>Data engineering- ETL, data quality, snowflake, Azure services, Python(Django), SQL server, My SQL, MongoDB</t>
        </is>
      </c>
      <c r="G6" s="5" t="n"/>
      <c r="H6" s="5" t="inlineStr">
        <is>
          <t>Microsoft certified: Azure Administrator Associate                                                              Microsoft certified: Fabric Data Engineer (DP 700)</t>
        </is>
      </c>
      <c r="I6" s="6" t="n">
        <v>45586</v>
      </c>
      <c r="J6" s="6" t="n"/>
      <c r="K6" s="63">
        <f>IF(I6&lt;&gt;"",TODAY()-I6,"")</f>
        <v/>
      </c>
      <c r="L6" s="5" t="inlineStr">
        <is>
          <t>Partial Available</t>
        </is>
      </c>
      <c r="M6" s="14" t="inlineStr">
        <is>
          <t>Innovation Pool</t>
        </is>
      </c>
      <c r="N6" s="15" t="n">
        <v>45889</v>
      </c>
      <c r="O6" s="64">
        <f>IF(M6="Learner Pool",IF(N6&lt;&gt;"",N6+60,""),"N/A")</f>
        <v/>
      </c>
      <c r="P6" s="65">
        <f>IF(M6="Innovation Pool","No duration limit",IF(OR(N6="",O6=""),"—",IF(O6&lt;TODAY(),"⚠ Review Overdue","Review in "&amp;TEXT(O6-TODAY(),"0")&amp;" days")))</f>
        <v/>
      </c>
      <c r="Q6" s="99" t="inlineStr">
        <is>
          <t>🚨 Critical (1Y+)</t>
        </is>
      </c>
      <c r="R6" s="5" t="n"/>
      <c r="S6" s="5" t="n"/>
      <c r="T6" s="5" t="n">
        <v>90</v>
      </c>
      <c r="U6" s="5" t="inlineStr">
        <is>
          <t>Data Analyst</t>
        </is>
      </c>
      <c r="V6" s="5" t="inlineStr">
        <is>
          <t>Remote</t>
        </is>
      </c>
      <c r="W6" s="2" t="inlineStr">
        <is>
          <t>Ready for allocation</t>
        </is>
      </c>
    </row>
    <row r="7" ht="36.75" customHeight="1" s="60">
      <c r="A7" s="2" t="inlineStr">
        <is>
          <t>EMP005</t>
        </is>
      </c>
      <c r="B7" s="2" t="inlineStr">
        <is>
          <t>Vijay Karsh</t>
        </is>
      </c>
      <c r="C7" s="2" t="inlineStr">
        <is>
          <t>Frontend Developer</t>
        </is>
      </c>
      <c r="D7" s="2" t="inlineStr">
        <is>
          <t>Delivery</t>
        </is>
      </c>
      <c r="E7" s="2" t="n">
        <v>3.5</v>
      </c>
      <c r="F7" s="2" t="inlineStr">
        <is>
          <t>JavaScript, C#, Python, Java, django and Blazor, webflow, wordpress</t>
        </is>
      </c>
      <c r="G7" s="2" t="inlineStr">
        <is>
          <t>React, PowerBI</t>
        </is>
      </c>
      <c r="H7" s="2" t="n"/>
      <c r="I7" s="3" t="n">
        <v>45573</v>
      </c>
      <c r="J7" s="3" t="n">
        <v>46256</v>
      </c>
      <c r="K7" s="63">
        <f>IF(I7&lt;&gt;"",TODAY()-I7,"")</f>
        <v/>
      </c>
      <c r="L7" s="2" t="inlineStr">
        <is>
          <t>In Training</t>
        </is>
      </c>
      <c r="M7" s="14" t="inlineStr">
        <is>
          <t>Innovation Pool</t>
        </is>
      </c>
      <c r="N7" s="15" t="n">
        <v>45889</v>
      </c>
      <c r="O7" s="64">
        <f>IF(M7="Learner Pool",IF(N7&lt;&gt;"",N7+60,""),"N/A")</f>
        <v/>
      </c>
      <c r="P7" s="65">
        <f>IF(M7="Innovation Pool","No duration limit",IF(OR(N7="",O7=""),"—",IF(O7&lt;TODAY(),"⚠ Review Overdue","Review in "&amp;TEXT(O7-TODAY(),"0")&amp;" days")))</f>
        <v/>
      </c>
      <c r="Q7" s="99" t="inlineStr">
        <is>
          <t>🚨 Critical (1Y+)</t>
        </is>
      </c>
      <c r="R7" s="2" t="inlineStr">
        <is>
          <t>PowerBI</t>
        </is>
      </c>
      <c r="S7" s="3" t="n">
        <v>46203</v>
      </c>
      <c r="T7" s="2" t="n">
        <v>80</v>
      </c>
      <c r="U7" s="2" t="inlineStr">
        <is>
          <t>BI</t>
        </is>
      </c>
      <c r="V7" s="2" t="inlineStr">
        <is>
          <t>Remote</t>
        </is>
      </c>
      <c r="W7" s="2" t="inlineStr">
        <is>
          <t>Ready for allocation</t>
        </is>
      </c>
    </row>
    <row r="8" ht="34.5" customHeight="1" s="60">
      <c r="A8" s="5" t="inlineStr">
        <is>
          <t>EMP006</t>
        </is>
      </c>
      <c r="B8" s="5" t="inlineStr">
        <is>
          <t>Sristi Choubey</t>
        </is>
      </c>
      <c r="C8" s="5" t="inlineStr">
        <is>
          <t>Quality Analyst</t>
        </is>
      </c>
      <c r="D8" s="5" t="inlineStr">
        <is>
          <t>Quality</t>
        </is>
      </c>
      <c r="E8" s="5" t="n">
        <v>5</v>
      </c>
      <c r="F8" s="5" t="inlineStr">
        <is>
          <t>Selenium</t>
        </is>
      </c>
      <c r="G8" s="5" t="inlineStr">
        <is>
          <t>Playwright</t>
        </is>
      </c>
      <c r="H8" s="5" t="n"/>
      <c r="I8" s="6" t="n">
        <v>45870</v>
      </c>
      <c r="J8" s="6" t="n">
        <v>46256</v>
      </c>
      <c r="K8" s="63">
        <f>IF(I8&lt;&gt;"",TODAY()-I8,"")</f>
        <v/>
      </c>
      <c r="L8" s="5" t="inlineStr">
        <is>
          <t>Shadow Mode</t>
        </is>
      </c>
      <c r="M8" s="14" t="inlineStr">
        <is>
          <t>Innovation Pool</t>
        </is>
      </c>
      <c r="N8" s="15" t="n">
        <v>45889</v>
      </c>
      <c r="O8" s="64">
        <f>IF(M8="Learner Pool",IF(N8&lt;&gt;"",N8+60,""),"N/A")</f>
        <v/>
      </c>
      <c r="P8" s="65">
        <f>IF(M8="Innovation Pool","No duration limit",IF(OR(N8="",O8=""),"—",IF(O8&lt;TODAY(),"⚠ Review Overdue","Review in "&amp;TEXT(O8-TODAY(),"0")&amp;" days")))</f>
        <v/>
      </c>
      <c r="Q8" s="99" t="inlineStr">
        <is>
          <t>🔴 Action Needed (6M+)</t>
        </is>
      </c>
      <c r="R8" s="5" t="n"/>
      <c r="S8" s="5" t="n"/>
      <c r="T8" s="5" t="n">
        <v>90</v>
      </c>
      <c r="U8" s="5" t="inlineStr">
        <is>
          <t>Automation</t>
        </is>
      </c>
      <c r="V8" s="5" t="inlineStr">
        <is>
          <t>Remote</t>
        </is>
      </c>
      <c r="W8" s="5" t="inlineStr">
        <is>
          <t>Urgent — high demand skill</t>
        </is>
      </c>
    </row>
    <row r="9" ht="54" customHeight="1" s="60">
      <c r="A9" s="2" t="inlineStr">
        <is>
          <t>EMP007</t>
        </is>
      </c>
      <c r="B9" s="2" t="inlineStr">
        <is>
          <t>Pooja Sahu</t>
        </is>
      </c>
      <c r="C9" s="2" t="inlineStr">
        <is>
          <t>Quality Analyst</t>
        </is>
      </c>
      <c r="D9" s="2" t="inlineStr">
        <is>
          <t>Quality</t>
        </is>
      </c>
      <c r="E9" s="2" t="n">
        <v>6</v>
      </c>
      <c r="F9" s="2" t="inlineStr">
        <is>
          <t>Testim for Mobile &amp; Web Application, API testing using Postman &amp; Swagger, Selenium with Java, Playwright using TS/JS, Manual &amp; Automation Testing.</t>
        </is>
      </c>
      <c r="G9" s="2" t="n"/>
      <c r="H9" s="24" t="inlineStr">
        <is>
          <t>Selenium with Java - Basics to Advance + Frameworks by Udemy            Tosca Product Consultant by Tricentis Academy                                           Testim Fundamental Creating - Automated Tests by Tricentis Academy</t>
        </is>
      </c>
      <c r="I9" s="3" t="n">
        <v>45870</v>
      </c>
      <c r="J9" s="3" t="n">
        <v>46256</v>
      </c>
      <c r="K9" s="63">
        <f>IF(I9&lt;&gt;"",TODAY()-I9,"")</f>
        <v/>
      </c>
      <c r="L9" s="2" t="inlineStr">
        <is>
          <t>On Leave</t>
        </is>
      </c>
      <c r="M9" s="14" t="inlineStr">
        <is>
          <t>Innovation Pool</t>
        </is>
      </c>
      <c r="N9" s="15" t="n">
        <v>45889</v>
      </c>
      <c r="O9" s="64">
        <f>IF(M9="Learner Pool",IF(N9&lt;&gt;"",N9+60,""),"N/A")</f>
        <v/>
      </c>
      <c r="P9" s="65">
        <f>IF(M9="Innovation Pool","No duration limit",IF(OR(N9="",O9=""),"—",IF(O9&lt;TODAY(),"⚠ Review Overdue","Review in "&amp;TEXT(O9-TODAY(),"0")&amp;" days")))</f>
        <v/>
      </c>
      <c r="Q9" s="99" t="inlineStr">
        <is>
          <t>🔴 Action Needed (6M+)</t>
        </is>
      </c>
      <c r="R9" s="2" t="n"/>
      <c r="S9" s="3" t="n"/>
      <c r="T9" s="2" t="n"/>
      <c r="U9" s="2" t="inlineStr">
        <is>
          <t>Automation</t>
        </is>
      </c>
      <c r="V9" s="2" t="inlineStr">
        <is>
          <t>Pune</t>
        </is>
      </c>
      <c r="W9" s="2" t="inlineStr">
        <is>
          <t>Maternity leave</t>
        </is>
      </c>
    </row>
    <row r="10" ht="39.75" customHeight="1" s="60">
      <c r="A10" s="26" t="inlineStr">
        <is>
          <t>EMP008</t>
        </is>
      </c>
      <c r="B10" s="26" t="inlineStr">
        <is>
          <t>Pallavi Tiwari</t>
        </is>
      </c>
      <c r="C10" s="26" t="inlineStr">
        <is>
          <t>Quality Analyst</t>
        </is>
      </c>
      <c r="D10" s="26" t="inlineStr">
        <is>
          <t>Quality</t>
        </is>
      </c>
      <c r="E10" s="26" t="n">
        <v>7</v>
      </c>
      <c r="F10" s="27" t="inlineStr">
        <is>
          <t>QA Touch, Test Rail, MS Excel, Postman, Jmeter,BlazeMeter, Wave Tool, Testim</t>
        </is>
      </c>
      <c r="G10" s="26" t="n"/>
      <c r="H10" s="26" t="n"/>
      <c r="I10" s="28" t="n">
        <v>45885</v>
      </c>
      <c r="J10" s="28" t="n">
        <v>46207</v>
      </c>
      <c r="K10" s="63">
        <f>IF(I10&lt;&gt;"",TODAY()-I10,"")</f>
        <v/>
      </c>
      <c r="L10" s="26" t="inlineStr">
        <is>
          <t>Available</t>
        </is>
      </c>
      <c r="M10" s="30" t="inlineStr">
        <is>
          <t>Innovation Pool</t>
        </is>
      </c>
      <c r="N10" s="31" t="n">
        <v>45943</v>
      </c>
      <c r="O10" s="64">
        <f>IF(M10="Learner Pool",IF(N10&lt;&gt;"",N10+60,""),"N/A")</f>
        <v/>
      </c>
      <c r="P10" s="65">
        <f>IF(M10="Innovation Pool","No duration limit",IF(OR(N10="",O10=""),"—",IF(O10&lt;TODAY(),"⚠ Review Overdue","Review in "&amp;TEXT(O10-TODAY(),"0")&amp;" days")))</f>
        <v/>
      </c>
      <c r="Q10" s="99" t="inlineStr">
        <is>
          <t>🔴 Action Needed (6M+)</t>
        </is>
      </c>
      <c r="R10" s="26" t="n"/>
      <c r="S10" s="26" t="n"/>
      <c r="T10" s="26" t="n">
        <v>85</v>
      </c>
      <c r="U10" s="26" t="inlineStr">
        <is>
          <t>Automation</t>
        </is>
      </c>
      <c r="V10" s="26" t="inlineStr">
        <is>
          <t>Nagpur</t>
        </is>
      </c>
      <c r="W10" s="26" t="inlineStr">
        <is>
          <t>Ready for allocation</t>
        </is>
      </c>
    </row>
    <row r="11" ht="30.75" customHeight="1" s="60">
      <c r="A11" s="26" t="inlineStr">
        <is>
          <t>EMP009</t>
        </is>
      </c>
      <c r="B11" s="33" t="inlineStr">
        <is>
          <t>Devansh Pratap Singh</t>
        </is>
      </c>
      <c r="C11" s="25" t="inlineStr">
        <is>
          <t>AI Engineer</t>
        </is>
      </c>
      <c r="D11" s="25" t="inlineStr">
        <is>
          <t>Delivery</t>
        </is>
      </c>
      <c r="E11" s="25" t="n">
        <v>2</v>
      </c>
      <c r="F11" s="25" t="inlineStr">
        <is>
          <t>Python, AI</t>
        </is>
      </c>
      <c r="G11" s="25" t="inlineStr">
        <is>
          <t>Data Engineering</t>
        </is>
      </c>
      <c r="H11" s="25" t="n"/>
      <c r="I11" s="28" t="n">
        <v>45915</v>
      </c>
      <c r="J11" s="28" t="n">
        <v>46174</v>
      </c>
      <c r="K11" s="63">
        <f>IF(I11&lt;&gt;"",TODAY()-I11,"")</f>
        <v/>
      </c>
      <c r="L11" s="25" t="inlineStr">
        <is>
          <t>Allocated</t>
        </is>
      </c>
      <c r="M11" s="25" t="inlineStr">
        <is>
          <t>Innovation Pool</t>
        </is>
      </c>
      <c r="N11" s="31" t="n">
        <v>45943</v>
      </c>
      <c r="O11" s="64">
        <f>IF(M11="Learner Pool",IF(N11&lt;&gt;"",N11+60,""),"N/A")</f>
        <v/>
      </c>
      <c r="P11" s="65">
        <f>IF(M11="Innovation Pool","No duration limit",IF(OR(N11="",O11=""),"—",IF(O11&lt;TODAY(),"⚠ Review Overdue","Review in "&amp;TEXT(O11-TODAY(),"0")&amp;" days")))</f>
        <v/>
      </c>
      <c r="Q11" s="99" t="inlineStr">
        <is>
          <t>—</t>
        </is>
      </c>
      <c r="R11" s="26" t="n"/>
      <c r="S11" s="26" t="n"/>
      <c r="T11" s="25" t="n">
        <v>100</v>
      </c>
      <c r="U11" s="35" t="inlineStr">
        <is>
          <t>AI Engineer</t>
        </is>
      </c>
      <c r="V11" s="25" t="inlineStr">
        <is>
          <t>Remote</t>
        </is>
      </c>
      <c r="W11" s="34" t="inlineStr">
        <is>
          <t>Omnia force replatform</t>
        </is>
      </c>
    </row>
    <row r="12" ht="45.75" customHeight="1" s="60">
      <c r="A12" s="26" t="inlineStr">
        <is>
          <t>EMP010</t>
        </is>
      </c>
      <c r="B12" s="25" t="inlineStr">
        <is>
          <t>Divya kashyap</t>
        </is>
      </c>
      <c r="C12" s="25" t="inlineStr">
        <is>
          <t>Data Engineer</t>
        </is>
      </c>
      <c r="D12" s="25" t="inlineStr">
        <is>
          <t>Delivery</t>
        </is>
      </c>
      <c r="E12" s="25" t="n">
        <v>5</v>
      </c>
      <c r="F12" s="22" t="inlineStr">
        <is>
          <t>MySQL server, SQL querying, ADF, Python, Django, PostgreSQL</t>
        </is>
      </c>
      <c r="G12" s="25" t="n"/>
      <c r="H12" s="25" t="n"/>
      <c r="I12" s="28" t="n">
        <v>45929</v>
      </c>
      <c r="J12" s="3" t="n">
        <v>46256</v>
      </c>
      <c r="K12" s="63">
        <f>IF(I12&lt;&gt;"",TODAY()-I12,"")</f>
        <v/>
      </c>
      <c r="L12" s="25" t="inlineStr">
        <is>
          <t>Available</t>
        </is>
      </c>
      <c r="M12" s="25" t="inlineStr">
        <is>
          <t>Innovation Pool</t>
        </is>
      </c>
      <c r="N12" s="31" t="n">
        <v>45978</v>
      </c>
      <c r="O12" s="64">
        <f>IF(M12="Learner Pool",IF(N12&lt;&gt;"",N12+60,""),"N/A")</f>
        <v/>
      </c>
      <c r="P12" s="65">
        <f>IF(M12="Innovation Pool","No duration limit",IF(OR(N12="",O12=""),"—",IF(O12&lt;TODAY(),"⚠ Review Overdue","Review in "&amp;TEXT(O12-TODAY(),"0")&amp;" days")))</f>
        <v/>
      </c>
      <c r="Q12" s="99" t="inlineStr">
        <is>
          <t>🔴 Action Needed (6M+)</t>
        </is>
      </c>
      <c r="R12" s="26" t="n"/>
      <c r="S12" s="26" t="n"/>
      <c r="T12" s="25" t="n">
        <v>90</v>
      </c>
      <c r="U12" s="35" t="inlineStr">
        <is>
          <t>Data Analyst</t>
        </is>
      </c>
      <c r="V12" s="25" t="inlineStr">
        <is>
          <t>Remote</t>
        </is>
      </c>
      <c r="W12" s="35" t="inlineStr">
        <is>
          <t>Ready for allocation</t>
        </is>
      </c>
    </row>
    <row r="13" ht="30.75" customHeight="1" s="60">
      <c r="A13" s="26" t="inlineStr">
        <is>
          <t>EMP011</t>
        </is>
      </c>
      <c r="B13" s="25" t="inlineStr">
        <is>
          <t>Muskan Goyal</t>
        </is>
      </c>
      <c r="C13" s="25" t="inlineStr">
        <is>
          <t>Frontend Developer</t>
        </is>
      </c>
      <c r="D13" s="25" t="inlineStr">
        <is>
          <t>Delivery</t>
        </is>
      </c>
      <c r="E13" s="25" t="n">
        <v>5</v>
      </c>
      <c r="F13" s="36" t="inlineStr">
        <is>
          <t>html, css, bootstrap,javascript</t>
        </is>
      </c>
      <c r="G13" s="25" t="inlineStr">
        <is>
          <t>PowerBI</t>
        </is>
      </c>
      <c r="H13" s="25" t="inlineStr">
        <is>
          <t>PowerBI, DP 700</t>
        </is>
      </c>
      <c r="I13" s="28" t="n">
        <v>45930</v>
      </c>
      <c r="J13" s="3" t="n">
        <v>46256</v>
      </c>
      <c r="K13" s="63">
        <f>IF(I13&lt;&gt;"",TODAY()-I13,"")</f>
        <v/>
      </c>
      <c r="L13" s="25" t="inlineStr">
        <is>
          <t>Available</t>
        </is>
      </c>
      <c r="M13" s="25" t="inlineStr">
        <is>
          <t>Innovation Pool</t>
        </is>
      </c>
      <c r="N13" s="31" t="n">
        <v>45978</v>
      </c>
      <c r="O13" s="64">
        <f>IF(M13="Learner Pool",IF(N13&lt;&gt;"",N13+60,""),"N/A")</f>
        <v/>
      </c>
      <c r="P13" s="65">
        <f>IF(M13="Innovation Pool","No duration limit",IF(OR(N13="",O13=""),"—",IF(O13&lt;TODAY(),"⚠ Review Overdue","Review in "&amp;TEXT(O13-TODAY(),"0")&amp;" days")))</f>
        <v/>
      </c>
      <c r="Q13" s="99" t="inlineStr">
        <is>
          <t>🔴 Action Needed (6M+)</t>
        </is>
      </c>
      <c r="R13" s="26" t="n"/>
      <c r="S13" s="26" t="n"/>
      <c r="T13" s="25" t="n">
        <v>90</v>
      </c>
      <c r="U13" s="25" t="inlineStr">
        <is>
          <t>BI</t>
        </is>
      </c>
      <c r="V13" s="25" t="inlineStr">
        <is>
          <t>Remote</t>
        </is>
      </c>
      <c r="W13" s="35" t="inlineStr">
        <is>
          <t>Ready for allocation</t>
        </is>
      </c>
    </row>
    <row r="14" ht="30.75" customHeight="1" s="60">
      <c r="A14" s="26" t="inlineStr">
        <is>
          <t>EMP012</t>
        </is>
      </c>
      <c r="B14" s="25" t="inlineStr">
        <is>
          <t>Somya Ranjan</t>
        </is>
      </c>
      <c r="C14" s="25" t="inlineStr">
        <is>
          <t>AI Engineer</t>
        </is>
      </c>
      <c r="D14" s="25" t="inlineStr">
        <is>
          <t>Delivery</t>
        </is>
      </c>
      <c r="E14" s="25" t="n">
        <v>1</v>
      </c>
      <c r="F14" s="25" t="inlineStr">
        <is>
          <t>Python, AI</t>
        </is>
      </c>
      <c r="G14" s="25" t="inlineStr">
        <is>
          <t>Data Engineering</t>
        </is>
      </c>
      <c r="H14" s="25" t="inlineStr">
        <is>
          <t>Data Scientist</t>
        </is>
      </c>
      <c r="I14" s="28" t="n">
        <v>46052</v>
      </c>
      <c r="J14" s="3" t="n">
        <v>46256</v>
      </c>
      <c r="K14" s="63">
        <f>IF(I14&lt;&gt;"",TODAY()-I14,"")</f>
        <v/>
      </c>
      <c r="L14" s="25" t="inlineStr">
        <is>
          <t>Available</t>
        </is>
      </c>
      <c r="M14" s="25" t="inlineStr">
        <is>
          <t>Innovation Pool</t>
        </is>
      </c>
      <c r="N14" s="28" t="n">
        <v>46052</v>
      </c>
      <c r="O14" s="64">
        <f>IF(M14="Learner Pool",IF(N14&lt;&gt;"",N14+60,""),"N/A")</f>
        <v/>
      </c>
      <c r="P14" s="65">
        <f>IF(M14="Innovation Pool","No duration limit",IF(OR(N14="",O14=""),"—",IF(O14&lt;TODAY(),"⚠ Review Overdue","Review in "&amp;TEXT(O14-TODAY(),"0")&amp;" days")))</f>
        <v/>
      </c>
      <c r="Q14" s="99" t="inlineStr">
        <is>
          <t>⚠ Watch (3M+)</t>
        </is>
      </c>
      <c r="R14" s="26" t="n"/>
      <c r="S14" s="26" t="n"/>
      <c r="T14" s="25" t="n">
        <v>100</v>
      </c>
      <c r="U14" s="35" t="inlineStr">
        <is>
          <t>AI Engineer</t>
        </is>
      </c>
      <c r="V14" s="25" t="inlineStr">
        <is>
          <t>Remote</t>
        </is>
      </c>
      <c r="W14" s="35" t="inlineStr">
        <is>
          <t>Ready for allocation</t>
        </is>
      </c>
    </row>
    <row r="15" ht="30.75" customHeight="1" s="60">
      <c r="A15" s="26" t="inlineStr">
        <is>
          <t>EMP013</t>
        </is>
      </c>
      <c r="B15" s="25" t="inlineStr">
        <is>
          <t>Pooja Ruchandani</t>
        </is>
      </c>
      <c r="C15" s="25" t="inlineStr">
        <is>
          <t>Business Analyst</t>
        </is>
      </c>
      <c r="D15" s="25" t="inlineStr">
        <is>
          <t>Delivery</t>
        </is>
      </c>
      <c r="E15" s="25" t="n">
        <v>4</v>
      </c>
      <c r="F15" s="25" t="inlineStr">
        <is>
          <t>Project Management</t>
        </is>
      </c>
      <c r="G15" s="25" t="n"/>
      <c r="H15" s="25" t="n"/>
      <c r="I15" s="28" t="n">
        <v>45935</v>
      </c>
      <c r="J15" s="3" t="n">
        <v>46256</v>
      </c>
      <c r="K15" s="63">
        <f>IF(I15&lt;&gt;"",TODAY()-I15,"")</f>
        <v/>
      </c>
      <c r="L15" s="25" t="inlineStr">
        <is>
          <t>Available</t>
        </is>
      </c>
      <c r="M15" s="25" t="inlineStr">
        <is>
          <t>Innovation Pool</t>
        </is>
      </c>
      <c r="N15" s="28" t="n">
        <v>45935</v>
      </c>
      <c r="O15" s="64">
        <f>IF(M15="Learner Pool",IF(N15&lt;&gt;"",N15+60,""),"N/A")</f>
        <v/>
      </c>
      <c r="P15" s="65">
        <f>IF(M15="Innovation Pool","No duration limit",IF(OR(N15="",O15=""),"—",IF(O15&lt;TODAY(),"⚠ Review Overdue","Review in "&amp;TEXT(O15-TODAY(),"0")&amp;" days")))</f>
        <v/>
      </c>
      <c r="Q15" s="99" t="inlineStr">
        <is>
          <t>🔴 Action Needed (6M+)</t>
        </is>
      </c>
      <c r="R15" s="26" t="n"/>
      <c r="S15" s="26" t="n"/>
      <c r="T15" s="25" t="n"/>
      <c r="U15" s="25" t="n"/>
      <c r="V15" s="25" t="n"/>
      <c r="W15" s="35" t="inlineStr">
        <is>
          <t>Ready for allocation</t>
        </is>
      </c>
    </row>
    <row r="16" ht="30.75" customHeight="1" s="60">
      <c r="A16" s="26" t="inlineStr">
        <is>
          <t>EMP014</t>
        </is>
      </c>
      <c r="B16" s="38" t="inlineStr">
        <is>
          <t>Abha Tiwari</t>
        </is>
      </c>
      <c r="C16" s="37" t="inlineStr">
        <is>
          <t>Backend Engineer</t>
        </is>
      </c>
      <c r="D16" s="37" t="inlineStr">
        <is>
          <t>Delivery</t>
        </is>
      </c>
      <c r="E16" s="37" t="n">
        <v>5</v>
      </c>
      <c r="F16" s="37" t="inlineStr">
        <is>
          <t>Java</t>
        </is>
      </c>
      <c r="G16" s="37" t="inlineStr">
        <is>
          <t>Python</t>
        </is>
      </c>
      <c r="H16" s="37" t="n"/>
      <c r="I16" s="28" t="n">
        <v>46023</v>
      </c>
      <c r="J16" s="3" t="n">
        <v>46256</v>
      </c>
      <c r="K16" s="63">
        <f>IF(I16&lt;&gt;"",TODAY()-I16,"")</f>
        <v/>
      </c>
      <c r="L16" s="37" t="inlineStr">
        <is>
          <t>On Leave</t>
        </is>
      </c>
      <c r="M16" s="37" t="inlineStr">
        <is>
          <t>Innovation Pool</t>
        </is>
      </c>
      <c r="N16" s="28" t="n">
        <v>46023</v>
      </c>
      <c r="O16" s="64">
        <f>IF(M16="Learner Pool",IF(N16&lt;&gt;"",N16+60,""),"N/A")</f>
        <v/>
      </c>
      <c r="P16" s="65">
        <f>IF(M16="Innovation Pool","No duration limit",IF(OR(N16="",O16=""),"—",IF(O16&lt;TODAY(),"⚠ Review Overdue","Review in "&amp;TEXT(O16-TODAY(),"0")&amp;" days")))</f>
        <v/>
      </c>
      <c r="Q16" s="99" t="inlineStr">
        <is>
          <t>⚠ Watch (3M+)</t>
        </is>
      </c>
      <c r="R16" s="26" t="n"/>
      <c r="S16" s="26" t="n"/>
      <c r="T16" s="37" t="n">
        <v>100</v>
      </c>
      <c r="U16" s="39" t="inlineStr">
        <is>
          <t>Java Developer</t>
        </is>
      </c>
      <c r="V16" s="37" t="inlineStr">
        <is>
          <t>Remote</t>
        </is>
      </c>
      <c r="W16" s="37" t="inlineStr">
        <is>
          <t>Maternity leave</t>
        </is>
      </c>
    </row>
    <row r="17" ht="30.75" customHeight="1" s="60">
      <c r="A17" s="26" t="inlineStr">
        <is>
          <t>EMP015</t>
        </is>
      </c>
      <c r="B17" s="25" t="inlineStr">
        <is>
          <t>Dev Narayan</t>
        </is>
      </c>
      <c r="C17" s="25" t="inlineStr">
        <is>
          <t>Backend Engineer</t>
        </is>
      </c>
      <c r="D17" s="25" t="inlineStr">
        <is>
          <t>Delivery</t>
        </is>
      </c>
      <c r="E17" s="25" t="n">
        <v>11</v>
      </c>
      <c r="F17" s="25" t="inlineStr">
        <is>
          <t>Java, Python</t>
        </is>
      </c>
      <c r="G17" s="25" t="inlineStr">
        <is>
          <t>SQL</t>
        </is>
      </c>
      <c r="H17" s="25" t="inlineStr">
        <is>
          <t>Ab-102</t>
        </is>
      </c>
      <c r="I17" s="28" t="n">
        <v>46082</v>
      </c>
      <c r="J17" s="3" t="n">
        <v>46256</v>
      </c>
      <c r="K17" s="63">
        <f>IF(I17&lt;&gt;"",TODAY()-I17,"")</f>
        <v/>
      </c>
      <c r="L17" s="25" t="inlineStr">
        <is>
          <t>Available</t>
        </is>
      </c>
      <c r="M17" s="25" t="inlineStr">
        <is>
          <t>Innovation Pool</t>
        </is>
      </c>
      <c r="N17" s="28" t="n">
        <v>46028</v>
      </c>
      <c r="O17" s="64">
        <f>IF(M17="Learner Pool",IF(N17&lt;&gt;"",N17+60,""),"N/A")</f>
        <v/>
      </c>
      <c r="P17" s="65">
        <f>IF(M17="Innovation Pool","No duration limit",IF(OR(N17="",O17=""),"—",IF(O17&lt;TODAY(),"⚠ Review Overdue","Review in "&amp;TEXT(O17-TODAY(),"0")&amp;" days")))</f>
        <v/>
      </c>
      <c r="Q17" s="99" t="inlineStr">
        <is>
          <t>⚠ Watch (3M+)</t>
        </is>
      </c>
      <c r="R17" s="26" t="n"/>
      <c r="S17" s="26" t="n"/>
      <c r="T17" s="25" t="n">
        <v>100</v>
      </c>
      <c r="U17" s="35" t="inlineStr">
        <is>
          <t>Java/Python</t>
        </is>
      </c>
      <c r="V17" s="25" t="inlineStr">
        <is>
          <t>Remote</t>
        </is>
      </c>
      <c r="W17" s="35" t="inlineStr">
        <is>
          <t>Ready for allocation</t>
        </is>
      </c>
    </row>
    <row r="18" ht="30.75" customHeight="1" s="60">
      <c r="A18" s="26" t="inlineStr">
        <is>
          <t>EMP016</t>
        </is>
      </c>
      <c r="B18" s="25" t="inlineStr">
        <is>
          <t>Yogesh Sahu</t>
        </is>
      </c>
      <c r="C18" s="25" t="inlineStr">
        <is>
          <t>Frontend Developer</t>
        </is>
      </c>
      <c r="D18" s="25" t="inlineStr">
        <is>
          <t>Delivery</t>
        </is>
      </c>
      <c r="E18" s="25" t="n">
        <v>7</v>
      </c>
      <c r="F18" s="35" t="inlineStr">
        <is>
          <t>TIL, Windsor+Nestive+Sythetiq, Time tracking tool</t>
        </is>
      </c>
      <c r="G18" s="25" t="n"/>
      <c r="H18" s="25" t="n"/>
      <c r="I18" s="28" t="n">
        <v>46082</v>
      </c>
      <c r="J18" s="3" t="n">
        <v>46256</v>
      </c>
      <c r="K18" s="63">
        <f>IF(I18&lt;&gt;"",TODAY()-I18,"")</f>
        <v/>
      </c>
      <c r="L18" s="25" t="inlineStr">
        <is>
          <t>Available</t>
        </is>
      </c>
      <c r="M18" s="25" t="inlineStr">
        <is>
          <t>Innovation Pool</t>
        </is>
      </c>
      <c r="N18" s="28" t="n">
        <v>46028</v>
      </c>
      <c r="O18" s="64">
        <f>IF(M18="Learner Pool",IF(N18&lt;&gt;"",N18+60,""),"N/A")</f>
        <v/>
      </c>
      <c r="P18" s="65">
        <f>IF(M18="Innovation Pool","No duration limit",IF(OR(N18="",O18=""),"—",IF(O18&lt;TODAY(),"⚠ Review Overdue","Review in "&amp;TEXT(O18-TODAY(),"0")&amp;" days")))</f>
        <v/>
      </c>
      <c r="Q18" s="99" t="inlineStr">
        <is>
          <t>⚠ Watch (3M+)</t>
        </is>
      </c>
      <c r="R18" s="26" t="n"/>
      <c r="S18" s="26" t="n"/>
      <c r="T18" s="25" t="n">
        <v>100</v>
      </c>
      <c r="U18" s="25" t="inlineStr">
        <is>
          <t xml:space="preserve">React </t>
        </is>
      </c>
      <c r="V18" s="25" t="inlineStr">
        <is>
          <t>Remote</t>
        </is>
      </c>
      <c r="W18" s="25" t="inlineStr">
        <is>
          <t>Ready for allocation</t>
        </is>
      </c>
    </row>
    <row r="19" ht="14.25" customHeight="1" s="60">
      <c r="A19" s="26" t="inlineStr">
        <is>
          <t>EMP017</t>
        </is>
      </c>
      <c r="B19" s="25" t="inlineStr">
        <is>
          <t>Katyayani Sahu</t>
        </is>
      </c>
      <c r="C19" s="25" t="inlineStr">
        <is>
          <t>Frontend Developer</t>
        </is>
      </c>
      <c r="D19" s="25" t="inlineStr">
        <is>
          <t>Delivery</t>
        </is>
      </c>
      <c r="E19" s="25" t="n">
        <v>5</v>
      </c>
      <c r="F19" s="25" t="inlineStr">
        <is>
          <t>html, css, bootstrap,javascript</t>
        </is>
      </c>
      <c r="G19" s="25" t="n"/>
      <c r="H19" s="25" t="n"/>
      <c r="I19" s="28" t="n">
        <v>46082</v>
      </c>
      <c r="J19" s="25" t="n"/>
      <c r="K19" s="63">
        <f>IF(I19&lt;&gt;"",TODAY()-I19,"")</f>
        <v/>
      </c>
      <c r="L19" s="25" t="inlineStr">
        <is>
          <t>Shadow Mode</t>
        </is>
      </c>
      <c r="M19" s="25" t="inlineStr">
        <is>
          <t>Learner Pool</t>
        </is>
      </c>
      <c r="N19" s="28" t="n">
        <v>46026</v>
      </c>
      <c r="O19" s="64">
        <f>IF(M19="Learner Pool",IF(N19&lt;&gt;"",N19+60,""),"N/A")</f>
        <v/>
      </c>
      <c r="P19" s="65">
        <f>IF(M19="Innovation Pool","No duration limit",IF(OR(N19="",O19=""),"—",IF(O19&lt;TODAY(),"⚠ Review Overdue","Review in "&amp;TEXT(O19-TODAY(),"0")&amp;" days")))</f>
        <v/>
      </c>
      <c r="Q19" s="99" t="inlineStr">
        <is>
          <t>⚠ Watch (3M+)</t>
        </is>
      </c>
      <c r="R19" s="25" t="n"/>
      <c r="S19" s="25" t="n"/>
      <c r="T19" s="25" t="n"/>
      <c r="U19" s="25" t="n"/>
      <c r="V19" s="25" t="n"/>
      <c r="W19" s="25" t="inlineStr">
        <is>
          <t>LWD June  30</t>
        </is>
      </c>
    </row>
    <row r="20" ht="14.25" customHeight="1" s="60">
      <c r="A20" s="26" t="inlineStr">
        <is>
          <t>EMP018</t>
        </is>
      </c>
      <c r="B20" s="25" t="inlineStr">
        <is>
          <t>Rajkumari Kashyap</t>
        </is>
      </c>
      <c r="C20" s="25" t="inlineStr">
        <is>
          <t>Intern</t>
        </is>
      </c>
      <c r="D20" s="25" t="inlineStr">
        <is>
          <t>Training</t>
        </is>
      </c>
      <c r="E20" s="25" t="n">
        <v>0</v>
      </c>
      <c r="F20" s="25" t="inlineStr">
        <is>
          <t>Python, AI</t>
        </is>
      </c>
      <c r="G20" s="25" t="n"/>
      <c r="H20" s="25" t="n"/>
      <c r="I20" s="28" t="n">
        <v>46097</v>
      </c>
      <c r="J20" s="25" t="n"/>
      <c r="K20" s="63">
        <f>IF(I20&lt;&gt;"",TODAY()-I20,"")</f>
        <v/>
      </c>
      <c r="L20" s="25" t="inlineStr">
        <is>
          <t>In Training</t>
        </is>
      </c>
      <c r="M20" s="25" t="inlineStr">
        <is>
          <t>Learner Pool</t>
        </is>
      </c>
      <c r="N20" s="66" t="n">
        <v>46097</v>
      </c>
      <c r="O20" s="64">
        <f>IF(M20="Learner Pool",IF(N20&lt;&gt;"",N20+60,""),"N/A")</f>
        <v/>
      </c>
      <c r="P20" s="65">
        <f>IF(M20="Innovation Pool","No duration limit",IF(OR(N20="",O20=""),"—",IF(O20&lt;TODAY(),"⚠ Review Overdue","Review in "&amp;TEXT(O20-TODAY(),"0")&amp;" days")))</f>
        <v/>
      </c>
      <c r="Q20" s="99" t="inlineStr">
        <is>
          <t>⚠ Watch (3M+)</t>
        </is>
      </c>
      <c r="R20" s="25" t="n"/>
      <c r="S20" s="25" t="n"/>
      <c r="T20" s="25" t="n"/>
      <c r="U20" s="25" t="n"/>
      <c r="V20" s="25" t="n"/>
      <c r="W20" s="25" t="n"/>
    </row>
    <row r="21" ht="14.25" customHeight="1" s="60">
      <c r="A21" s="26" t="inlineStr">
        <is>
          <t>EMP019</t>
        </is>
      </c>
      <c r="B21" s="25" t="inlineStr">
        <is>
          <t>Radhika Boldiya</t>
        </is>
      </c>
      <c r="C21" s="25" t="inlineStr">
        <is>
          <t>Intern</t>
        </is>
      </c>
      <c r="D21" s="25" t="inlineStr">
        <is>
          <t>Training</t>
        </is>
      </c>
      <c r="E21" s="25" t="n">
        <v>0</v>
      </c>
      <c r="F21" s="25" t="inlineStr">
        <is>
          <t>Python, Devops</t>
        </is>
      </c>
      <c r="G21" s="25" t="n"/>
      <c r="H21" s="25" t="n"/>
      <c r="I21" s="28" t="n">
        <v>46164</v>
      </c>
      <c r="J21" s="25" t="n"/>
      <c r="K21" s="63">
        <f>IF(I21&lt;&gt;"",TODAY()-I21,"")</f>
        <v/>
      </c>
      <c r="L21" s="25" t="inlineStr">
        <is>
          <t>In Training</t>
        </is>
      </c>
      <c r="M21" s="25" t="inlineStr">
        <is>
          <t>Learner Pool</t>
        </is>
      </c>
      <c r="N21" s="66" t="n">
        <v>46164</v>
      </c>
      <c r="O21" s="64">
        <f>IF(M21="Learner Pool",IF(N21&lt;&gt;"",N21+60,""),"N/A")</f>
        <v/>
      </c>
      <c r="P21" s="65">
        <f>IF(M21="Innovation Pool","No duration limit",IF(OR(N21="",O21=""),"—",IF(O21&lt;TODAY(),"⚠ Review Overdue","Review in "&amp;TEXT(O21-TODAY(),"0")&amp;" days")))</f>
        <v/>
      </c>
      <c r="Q21" s="99" t="inlineStr">
        <is>
          <t>✅ On Track</t>
        </is>
      </c>
      <c r="R21" s="25" t="n"/>
      <c r="S21" s="25" t="n"/>
      <c r="T21" s="25" t="n"/>
      <c r="U21" s="25" t="n"/>
      <c r="V21" s="25" t="n"/>
      <c r="W21" s="25" t="n"/>
    </row>
    <row r="22" ht="14.25" customHeight="1" s="60">
      <c r="A22" s="26" t="inlineStr">
        <is>
          <t>EMP020</t>
        </is>
      </c>
      <c r="B22" s="25" t="inlineStr">
        <is>
          <t>Juhi Gupta</t>
        </is>
      </c>
      <c r="C22" s="25" t="inlineStr">
        <is>
          <t>Intern</t>
        </is>
      </c>
      <c r="D22" s="25" t="inlineStr">
        <is>
          <t>Training</t>
        </is>
      </c>
      <c r="E22" s="25" t="n">
        <v>0</v>
      </c>
      <c r="F22" s="25" t="inlineStr">
        <is>
          <t>Python</t>
        </is>
      </c>
      <c r="G22" s="25" t="n"/>
      <c r="H22" s="25" t="n"/>
      <c r="I22" s="28" t="n">
        <v>46157</v>
      </c>
      <c r="J22" s="25" t="n"/>
      <c r="K22" s="67">
        <f>IF(I22&lt;&gt;"",TODAY()-I22,"")</f>
        <v/>
      </c>
      <c r="L22" s="25" t="inlineStr">
        <is>
          <t>In Training</t>
        </is>
      </c>
      <c r="M22" s="25" t="inlineStr">
        <is>
          <t>Learner Pool</t>
        </is>
      </c>
      <c r="N22" s="66" t="n">
        <v>46157</v>
      </c>
      <c r="O22" s="64">
        <f>IF(M22="Learner Pool",IF(N22&lt;&gt;"",N22+60,""),"N/A")</f>
        <v/>
      </c>
      <c r="P22" s="65">
        <f>IF(M22="Innovation Pool","No duration limit",IF(OR(N22="",O22=""),"—",IF(O22&lt;TODAY(),"⚠ Review Overdue","Review in "&amp;TEXT(O22-TODAY(),"0")&amp;" days")))</f>
        <v/>
      </c>
      <c r="Q22" s="99" t="inlineStr">
        <is>
          <t>✅ On Track</t>
        </is>
      </c>
      <c r="R22" s="25" t="n"/>
      <c r="S22" s="25" t="n"/>
      <c r="T22" s="25" t="n"/>
      <c r="U22" s="25" t="n"/>
      <c r="V22" s="25" t="n"/>
      <c r="W22" s="25" t="n"/>
    </row>
    <row r="23" ht="14.25" customHeight="1" s="60">
      <c r="A23" s="26" t="inlineStr">
        <is>
          <t>EMP021</t>
        </is>
      </c>
      <c r="B23" s="25" t="inlineStr">
        <is>
          <t>Sana Fatima</t>
        </is>
      </c>
      <c r="C23" s="25" t="inlineStr">
        <is>
          <t>Intern</t>
        </is>
      </c>
      <c r="D23" s="25" t="inlineStr">
        <is>
          <t>Training</t>
        </is>
      </c>
      <c r="E23" s="25" t="n">
        <v>0</v>
      </c>
      <c r="F23" s="25" t="inlineStr">
        <is>
          <t>Python</t>
        </is>
      </c>
      <c r="G23" s="25" t="n"/>
      <c r="H23" s="25" t="n"/>
      <c r="I23" s="28" t="n">
        <v>46195</v>
      </c>
      <c r="J23" s="25" t="n"/>
      <c r="K23" s="67">
        <f>IF(I23&lt;&gt;"",TODAY()-I23,"")</f>
        <v/>
      </c>
      <c r="L23" s="25" t="inlineStr">
        <is>
          <t>In Training</t>
        </is>
      </c>
      <c r="M23" s="25" t="inlineStr">
        <is>
          <t>Learner Pool</t>
        </is>
      </c>
      <c r="N23" s="66" t="n">
        <v>46195</v>
      </c>
      <c r="O23" s="64">
        <f>IF(M23="Learner Pool",IF(N23&lt;&gt;"",N23+60,""),"N/A")</f>
        <v/>
      </c>
      <c r="P23" s="65">
        <f>IF(M23="Innovation Pool","No duration limit",IF(OR(N23="",O23=""),"—",IF(O23&lt;TODAY(),"⚠ Review Overdue","Review in "&amp;TEXT(O23-TODAY(),"0")&amp;" days")))</f>
        <v/>
      </c>
      <c r="Q23" s="99" t="inlineStr">
        <is>
          <t>✅ On Track</t>
        </is>
      </c>
      <c r="R23" s="25" t="n"/>
      <c r="S23" s="25" t="n"/>
      <c r="T23" s="25" t="n"/>
      <c r="U23" s="25" t="n"/>
      <c r="V23" s="25" t="n"/>
      <c r="W23" s="25" t="n"/>
    </row>
    <row r="24" ht="14.25" customHeight="1" s="60">
      <c r="A24" s="26" t="inlineStr">
        <is>
          <t>EMP022</t>
        </is>
      </c>
      <c r="B24" s="37" t="inlineStr">
        <is>
          <t>Harsh Barmeda</t>
        </is>
      </c>
      <c r="C24" s="37" t="inlineStr">
        <is>
          <t>Intern</t>
        </is>
      </c>
      <c r="D24" s="37" t="inlineStr">
        <is>
          <t>Training</t>
        </is>
      </c>
      <c r="E24" s="37" t="n">
        <v>0</v>
      </c>
      <c r="F24" s="37" t="inlineStr">
        <is>
          <t>Python</t>
        </is>
      </c>
      <c r="G24" s="37" t="n"/>
      <c r="H24" s="37" t="n"/>
      <c r="I24" s="28" t="n">
        <v>46195</v>
      </c>
      <c r="J24" s="37" t="n"/>
      <c r="K24" s="67">
        <f>IF(I24&lt;&gt;"",TODAY()-I24,"")</f>
        <v/>
      </c>
      <c r="L24" s="37" t="inlineStr">
        <is>
          <t>In Training</t>
        </is>
      </c>
      <c r="M24" s="37" t="inlineStr">
        <is>
          <t>Learner Pool</t>
        </is>
      </c>
      <c r="N24" s="68" t="n">
        <v>46195</v>
      </c>
      <c r="O24" s="64">
        <f>IF(M24="Learner Pool",IF(N24&lt;&gt;"",N24+60,""),"N/A")</f>
        <v/>
      </c>
      <c r="P24" s="65">
        <f>IF(M24="Innovation Pool","No duration limit",IF(OR(N24="",O24=""),"—",IF(O24&lt;TODAY(),"⚠ Review Overdue","Review in "&amp;TEXT(O24-TODAY(),"0")&amp;" days")))</f>
        <v/>
      </c>
      <c r="Q24" s="99" t="inlineStr">
        <is>
          <t>✅ On Track</t>
        </is>
      </c>
      <c r="R24" s="37" t="n"/>
      <c r="S24" s="37" t="n"/>
      <c r="T24" s="37" t="n"/>
      <c r="U24" s="37" t="n"/>
      <c r="V24" s="37" t="n"/>
      <c r="W24" s="37" t="n"/>
    </row>
    <row r="25">
      <c r="A25" s="41" t="inlineStr">
        <is>
          <t>EMP023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inlineStr">
        <is>
          <t>Learner Pool</t>
        </is>
      </c>
      <c r="N25" s="25" t="n"/>
      <c r="O25" s="64">
        <f>IF(M25="Learner Pool",IF(N25&lt;&gt;"",N25+60,""),"N/A")</f>
        <v/>
      </c>
      <c r="P25" s="65">
        <f>IF(M25="Innovation Pool","No duration limit",IF(OR(N25="",O25=""),"—",IF(O25&lt;TODAY(),"⚠ Review Overdue","Review in "&amp;TEXT(O25-TODAY(),"0")&amp;" days")))</f>
        <v/>
      </c>
      <c r="Q25" s="65" t="inlineStr">
        <is>
          <t>—</t>
        </is>
      </c>
      <c r="R25" s="25" t="n"/>
      <c r="S25" s="25" t="n"/>
      <c r="T25" s="25" t="n"/>
      <c r="U25" s="25" t="n"/>
      <c r="V25" s="25" t="n"/>
      <c r="W25" s="25" t="n"/>
    </row>
  </sheetData>
  <autoFilter ref="A1:R10"/>
  <mergeCells count="1">
    <mergeCell ref="A1:R1"/>
  </mergeCells>
  <conditionalFormatting sqref="K3:K100">
    <cfRule type="cellIs" priority="1" operator="greaterThan" dxfId="1">
      <formula>15</formula>
    </cfRule>
    <cfRule type="cellIs" priority="2" operator="between" dxfId="14">
      <formula>8</formula>
      <formula>15</formula>
    </cfRule>
    <cfRule type="cellIs" priority="20" operator="greaterThan" dxfId="16">
      <formula>15</formula>
    </cfRule>
    <cfRule type="cellIs" priority="21" operator="between" dxfId="17">
      <formula>8</formula>
      <formula>15</formula>
    </cfRule>
    <cfRule type="cellIs" priority="27" operator="greaterThanOrEqual" dxfId="28">
      <formula>365</formula>
    </cfRule>
    <cfRule type="cellIs" priority="28" operator="between" dxfId="16">
      <formula>180</formula>
      <formula>364</formula>
    </cfRule>
    <cfRule type="cellIs" priority="29" operator="between" dxfId="29">
      <formula>90</formula>
      <formula>179</formula>
    </cfRule>
    <cfRule type="cellIs" priority="30" operator="between" dxfId="30">
      <formula>1</formula>
      <formula>89</formula>
    </cfRule>
  </conditionalFormatting>
  <conditionalFormatting sqref="L3:L100">
    <cfRule type="cellIs" priority="3" operator="equal" dxfId="3">
      <formula>"Available"</formula>
    </cfRule>
    <cfRule type="cellIs" priority="4" operator="equal" dxfId="12">
      <formula>"In Training"</formula>
    </cfRule>
    <cfRule type="cellIs" priority="5" operator="equal" dxfId="11">
      <formula>"Shadow Mode"</formula>
    </cfRule>
    <cfRule type="cellIs" priority="14" operator="equal" dxfId="18">
      <formula>"Available"</formula>
    </cfRule>
    <cfRule type="cellIs" priority="15" operator="equal" dxfId="19">
      <formula>"In Training"</formula>
    </cfRule>
    <cfRule type="cellIs" priority="16" operator="equal" dxfId="20">
      <formula>"Shadow Mode"</formula>
    </cfRule>
    <cfRule type="cellIs" priority="17" operator="equal" dxfId="21">
      <formula>"On Leave"</formula>
    </cfRule>
    <cfRule type="cellIs" priority="18" operator="equal" dxfId="22">
      <formula>"Partial Available"</formula>
    </cfRule>
    <cfRule type="cellIs" priority="19" operator="equal" dxfId="23">
      <formula>"Allocated"</formula>
    </cfRule>
  </conditionalFormatting>
  <conditionalFormatting sqref="M3:M200">
    <cfRule type="cellIs" priority="6" operator="equal" dxfId="4">
      <formula>"Learner Pool"</formula>
    </cfRule>
    <cfRule type="cellIs" priority="7" operator="equal" dxfId="9">
      <formula>"Innovation Pool"</formula>
    </cfRule>
  </conditionalFormatting>
  <conditionalFormatting sqref="P3:P200">
    <cfRule type="expression" priority="8" dxfId="5">
      <formula>ISNUMBER(SEARCH("Overdue",P3))</formula>
    </cfRule>
    <cfRule type="cellIs" priority="9" operator="equal" dxfId="7">
      <formula>"No duration limit"</formula>
    </cfRule>
  </conditionalFormatting>
  <conditionalFormatting sqref="M3:M100">
    <cfRule type="cellIs" priority="10" operator="equal" dxfId="24">
      <formula>"Learner Pool"</formula>
    </cfRule>
    <cfRule type="cellIs" priority="11" operator="equal" dxfId="25">
      <formula>"Innovation Pool"</formula>
    </cfRule>
  </conditionalFormatting>
  <conditionalFormatting sqref="P3:P100">
    <cfRule type="expression" priority="12" dxfId="16">
      <formula>ISNUMBER(SEARCH("Overdue",P3))</formula>
    </cfRule>
    <cfRule type="cellIs" priority="13" operator="equal" dxfId="26">
      <formula>"No duration limit"</formula>
    </cfRule>
  </conditionalFormatting>
  <conditionalFormatting sqref="S3:S100">
    <cfRule type="colorScale" priority="22">
      <colorScale>
        <cfvo type="num" val="0"/>
        <cfvo type="num" val="60"/>
        <cfvo type="num" val="100"/>
        <color rgb="00FCEBEB"/>
        <color rgb="00FAEEDA"/>
        <color rgb="00E1F5EE"/>
      </colorScale>
    </cfRule>
  </conditionalFormatting>
  <conditionalFormatting sqref="Q3:Q100">
    <cfRule type="expression" priority="23" dxfId="31">
      <formula>ISNUMBER(SEARCH("Critical",Q3))</formula>
    </cfRule>
    <cfRule type="expression" priority="24" dxfId="32">
      <formula>ISNUMBER(SEARCH("Action Needed",Q3))</formula>
    </cfRule>
    <cfRule type="expression" priority="25" dxfId="33">
      <formula>ISNUMBER(SEARCH("Watch",Q3))</formula>
    </cfRule>
    <cfRule type="expression" priority="26" dxfId="34">
      <formula>ISNUMBER(SEARCH("On Track",Q3))</formula>
    </cfRule>
  </conditionalFormatting>
  <dataValidations count="5">
    <dataValidation sqref="L3 L7:L200" showDropDown="0" showInputMessage="0" showErrorMessage="0" allowBlank="0" type="list">
      <formula1>"Available,In Training,Shadow Mode,On Leave,Allocated"</formula1>
    </dataValidation>
    <dataValidation sqref="M3:M200" showDropDown="0" showInputMessage="0" showErrorMessage="0" allowBlank="0" type="list">
      <formula1>"Learner Pool,Innovation Pool"</formula1>
    </dataValidation>
    <dataValidation sqref="L4:L6" showDropDown="0" showInputMessage="0" showErrorMessage="0" allowBlank="0" type="list">
      <formula1>"Available,Partial Available,In Training,Shadow Mode,On Leave,Allocated"</formula1>
    </dataValidation>
    <dataValidation sqref="L3:L200" showDropDown="0" showInputMessage="0" showErrorMessage="0" allowBlank="0" type="list">
      <formula1>"Available,Partial Available,In Training,Shadow Mode,On Leave,Allocated"</formula1>
    </dataValidation>
    <dataValidation sqref="M3:M200" showDropDown="0" showInputMessage="0" showErrorMessage="0" allowBlank="0" type="list">
      <formula1>"Learner Pool,Innovation Pool"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B1F1F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8" customWidth="1" style="60" min="1" max="1"/>
    <col width="18" customWidth="1" style="60" min="2" max="2"/>
    <col width="16" customWidth="1" style="60" min="3" max="3"/>
    <col width="10" customWidth="1" style="60" min="4" max="4"/>
    <col width="10" customWidth="1" style="60" min="5" max="5"/>
    <col width="14" customWidth="1" style="60" min="6" max="6"/>
    <col width="14" customWidth="1" style="60" min="7" max="7"/>
    <col width="12" customWidth="1" style="60" min="8" max="8"/>
    <col width="30" customWidth="1" style="60" min="9" max="9"/>
    <col width="16" customWidth="1" style="60" min="10" max="10"/>
    <col width="10" customWidth="1" style="60" min="11" max="11"/>
    <col width="42" customWidth="1" style="60" min="12" max="12"/>
  </cols>
  <sheetData>
    <row r="1" ht="32" customHeight="1" s="60">
      <c r="A1" s="75" t="inlineStr">
        <is>
          <t>AGING BENCH REPORT — Resources Requiring Immediate Attention</t>
        </is>
      </c>
    </row>
    <row r="2" ht="22" customHeight="1" s="60">
      <c r="A2" s="76" t="inlineStr">
        <is>
          <t>🚨 Critical: 365+ days</t>
        </is>
      </c>
      <c r="B2" s="77" t="n"/>
      <c r="C2" s="78" t="inlineStr">
        <is>
          <t>🔴 Action Needed: 180–364 days</t>
        </is>
      </c>
      <c r="D2" s="77" t="n"/>
      <c r="E2" s="79" t="inlineStr">
        <is>
          <t>⚠ Watch: 90–179 days</t>
        </is>
      </c>
      <c r="F2" s="77" t="n"/>
      <c r="G2" s="80" t="inlineStr">
        <is>
          <t>✅ On Track: &lt; 90 days</t>
        </is>
      </c>
      <c r="H2" s="77" t="n"/>
      <c r="I2" s="81" t="inlineStr">
        <is>
          <t>Generated: Auto-refresh from Bench Master</t>
        </is>
      </c>
      <c r="J2" s="100" t="n"/>
      <c r="K2" s="100" t="n"/>
      <c r="L2" s="77" t="n"/>
    </row>
    <row r="3"/>
    <row r="4" ht="26" customHeight="1" s="60">
      <c r="A4" s="101" t="inlineStr">
        <is>
          <t>🚨 CRITICAL — 365+ Days on Bench  (5 resources)</t>
        </is>
      </c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77" t="n"/>
    </row>
    <row r="5" ht="18" customHeight="1" s="60">
      <c r="A5" s="102" t="inlineStr">
        <is>
          <t>Emp ID</t>
        </is>
      </c>
      <c r="B5" s="102" t="inlineStr">
        <is>
          <t>Name</t>
        </is>
      </c>
      <c r="C5" s="102" t="inlineStr">
        <is>
          <t>Profile</t>
        </is>
      </c>
      <c r="D5" s="102" t="inlineStr">
        <is>
          <t>Dept</t>
        </is>
      </c>
      <c r="E5" s="102" t="inlineStr">
        <is>
          <t>Bench Days</t>
        </is>
      </c>
      <c r="F5" s="102" t="inlineStr">
        <is>
          <t>Status</t>
        </is>
      </c>
      <c r="G5" s="102" t="inlineStr">
        <is>
          <t>Bench Type</t>
        </is>
      </c>
      <c r="H5" s="102" t="inlineStr">
        <is>
          <t>Pool</t>
        </is>
      </c>
      <c r="I5" s="102" t="inlineStr">
        <is>
          <t>Primary Skill</t>
        </is>
      </c>
      <c r="J5" s="102" t="inlineStr">
        <is>
          <t>Preferred Role</t>
        </is>
      </c>
      <c r="K5" s="102" t="inlineStr">
        <is>
          <t>Location</t>
        </is>
      </c>
      <c r="L5" s="102" t="inlineStr">
        <is>
          <t>Action Required</t>
        </is>
      </c>
    </row>
    <row r="6" ht="18" customHeight="1" s="60">
      <c r="A6" s="103" t="inlineStr">
        <is>
          <t>EMP001</t>
        </is>
      </c>
      <c r="B6" s="104" t="inlineStr">
        <is>
          <t>Deepak Bharta</t>
        </is>
      </c>
      <c r="C6" s="104" t="inlineStr">
        <is>
          <t>UI/UX designer</t>
        </is>
      </c>
      <c r="D6" s="104" t="inlineStr">
        <is>
          <t>Design</t>
        </is>
      </c>
      <c r="E6" s="103" t="n">
        <v>1286</v>
      </c>
      <c r="F6" s="103" t="inlineStr">
        <is>
          <t>Available</t>
        </is>
      </c>
      <c r="G6" s="103" t="inlineStr">
        <is>
          <t>Innovation Pool</t>
        </is>
      </c>
      <c r="H6" s="103" t="inlineStr"/>
      <c r="I6" s="104" t="inlineStr">
        <is>
          <t>Adobe Suite, Figma, Adobe XD</t>
        </is>
      </c>
      <c r="J6" s="104" t="n">
        <v>40</v>
      </c>
      <c r="K6" s="104" t="inlineStr">
        <is>
          <t>Designer</t>
        </is>
      </c>
      <c r="L6" s="104" t="inlineStr">
        <is>
          <t>Escalate to leadership — immediate placement or exit plan required</t>
        </is>
      </c>
    </row>
    <row r="7" ht="18" customHeight="1" s="60">
      <c r="A7" s="105" t="inlineStr">
        <is>
          <t>EMP002</t>
        </is>
      </c>
      <c r="B7" s="106" t="inlineStr">
        <is>
          <t>Parul Paul</t>
        </is>
      </c>
      <c r="C7" s="106" t="inlineStr">
        <is>
          <t>Data Engineer</t>
        </is>
      </c>
      <c r="D7" s="106" t="inlineStr">
        <is>
          <t>Delivery</t>
        </is>
      </c>
      <c r="E7" s="105" t="n">
        <v>961</v>
      </c>
      <c r="F7" s="105" t="inlineStr">
        <is>
          <t>Partial Available</t>
        </is>
      </c>
      <c r="G7" s="105" t="inlineStr">
        <is>
          <t>Innovation Pool</t>
        </is>
      </c>
      <c r="H7" s="105" t="inlineStr"/>
      <c r="I7" s="106" t="inlineStr">
        <is>
          <t xml:space="preserve"> Azure Data Factory, Azure SQL Server, S…</t>
        </is>
      </c>
      <c r="J7" s="106" t="n">
        <v>65</v>
      </c>
      <c r="K7" s="106" t="inlineStr">
        <is>
          <t>Data Analyst</t>
        </is>
      </c>
      <c r="L7" s="106" t="inlineStr">
        <is>
          <t>Escalate to leadership — immediate placement or exit plan required</t>
        </is>
      </c>
    </row>
    <row r="8" ht="18" customHeight="1" s="60">
      <c r="A8" s="103" t="inlineStr">
        <is>
          <t>EMP003</t>
        </is>
      </c>
      <c r="B8" s="104" t="inlineStr">
        <is>
          <t>Nagender Nandrey</t>
        </is>
      </c>
      <c r="C8" s="104" t="inlineStr">
        <is>
          <t>Business Analyst</t>
        </is>
      </c>
      <c r="D8" s="104" t="inlineStr">
        <is>
          <t>Delivery</t>
        </is>
      </c>
      <c r="E8" s="103" t="n">
        <v>905</v>
      </c>
      <c r="F8" s="103" t="inlineStr">
        <is>
          <t>Available</t>
        </is>
      </c>
      <c r="G8" s="103" t="inlineStr">
        <is>
          <t>Innovation Pool</t>
        </is>
      </c>
      <c r="H8" s="103" t="inlineStr"/>
      <c r="I8" s="104" t="inlineStr">
        <is>
          <t>Data Engineering, Databases, Warehousing…</t>
        </is>
      </c>
      <c r="J8" s="104" t="n">
        <v>50</v>
      </c>
      <c r="K8" s="104" t="inlineStr">
        <is>
          <t>BA</t>
        </is>
      </c>
      <c r="L8" s="104" t="inlineStr">
        <is>
          <t>Escalate to leadership — immediate placement or exit plan required</t>
        </is>
      </c>
    </row>
    <row r="9" ht="18" customHeight="1" s="60">
      <c r="A9" s="105" t="inlineStr">
        <is>
          <t>EMP005</t>
        </is>
      </c>
      <c r="B9" s="106" t="inlineStr">
        <is>
          <t>Vijay Karsh</t>
        </is>
      </c>
      <c r="C9" s="106" t="inlineStr">
        <is>
          <t>Frontend Developer</t>
        </is>
      </c>
      <c r="D9" s="106" t="inlineStr">
        <is>
          <t>Delivery</t>
        </is>
      </c>
      <c r="E9" s="105" t="n">
        <v>624</v>
      </c>
      <c r="F9" s="105" t="inlineStr">
        <is>
          <t>In Training</t>
        </is>
      </c>
      <c r="G9" s="105" t="inlineStr">
        <is>
          <t>Innovation Pool</t>
        </is>
      </c>
      <c r="H9" s="105" t="inlineStr"/>
      <c r="I9" s="106" t="inlineStr">
        <is>
          <t>JavaScript, C#, Python, Java, django and…</t>
        </is>
      </c>
      <c r="J9" s="106" t="n">
        <v>80</v>
      </c>
      <c r="K9" s="106" t="inlineStr">
        <is>
          <t>BI</t>
        </is>
      </c>
      <c r="L9" s="106" t="inlineStr">
        <is>
          <t>Escalate to leadership — immediate placement or exit plan required</t>
        </is>
      </c>
    </row>
    <row r="10" ht="18" customHeight="1" s="60">
      <c r="A10" s="103" t="inlineStr">
        <is>
          <t>EMP004</t>
        </is>
      </c>
      <c r="B10" s="104" t="inlineStr">
        <is>
          <t>Nishita Toshi</t>
        </is>
      </c>
      <c r="C10" s="104" t="inlineStr">
        <is>
          <t>Data Quality</t>
        </is>
      </c>
      <c r="D10" s="104" t="inlineStr">
        <is>
          <t>Delivery</t>
        </is>
      </c>
      <c r="E10" s="103" t="n">
        <v>611</v>
      </c>
      <c r="F10" s="103" t="inlineStr">
        <is>
          <t>Partial Available</t>
        </is>
      </c>
      <c r="G10" s="103" t="inlineStr">
        <is>
          <t>Innovation Pool</t>
        </is>
      </c>
      <c r="H10" s="103" t="inlineStr"/>
      <c r="I10" s="104" t="inlineStr">
        <is>
          <t>Data engineering- ETL, data quality, sno…</t>
        </is>
      </c>
      <c r="J10" s="104" t="n">
        <v>90</v>
      </c>
      <c r="K10" s="104" t="inlineStr">
        <is>
          <t>Data Analyst</t>
        </is>
      </c>
      <c r="L10" s="104" t="inlineStr">
        <is>
          <t>Escalate to leadership — immediate placement or exit plan required</t>
        </is>
      </c>
    </row>
    <row r="11"/>
    <row r="12" ht="26" customHeight="1" s="60">
      <c r="A12" s="107" t="inlineStr">
        <is>
          <t>🔴 ACTION NEEDED — 180–364 Days  (6 resources)</t>
        </is>
      </c>
      <c r="B12" s="100" t="n"/>
      <c r="C12" s="100" t="n"/>
      <c r="D12" s="100" t="n"/>
      <c r="E12" s="100" t="n"/>
      <c r="F12" s="100" t="n"/>
      <c r="G12" s="100" t="n"/>
      <c r="H12" s="100" t="n"/>
      <c r="I12" s="100" t="n"/>
      <c r="J12" s="100" t="n"/>
      <c r="K12" s="100" t="n"/>
      <c r="L12" s="77" t="n"/>
    </row>
    <row r="13" ht="18" customHeight="1" s="60">
      <c r="A13" s="108" t="inlineStr">
        <is>
          <t>Emp ID</t>
        </is>
      </c>
      <c r="B13" s="108" t="inlineStr">
        <is>
          <t>Name</t>
        </is>
      </c>
      <c r="C13" s="108" t="inlineStr">
        <is>
          <t>Profile</t>
        </is>
      </c>
      <c r="D13" s="108" t="inlineStr">
        <is>
          <t>Dept</t>
        </is>
      </c>
      <c r="E13" s="108" t="inlineStr">
        <is>
          <t>Bench Days</t>
        </is>
      </c>
      <c r="F13" s="108" t="inlineStr">
        <is>
          <t>Status</t>
        </is>
      </c>
      <c r="G13" s="108" t="inlineStr">
        <is>
          <t>Bench Type</t>
        </is>
      </c>
      <c r="H13" s="108" t="inlineStr">
        <is>
          <t>Pool</t>
        </is>
      </c>
      <c r="I13" s="108" t="inlineStr">
        <is>
          <t>Primary Skill</t>
        </is>
      </c>
      <c r="J13" s="108" t="inlineStr">
        <is>
          <t>Preferred Role</t>
        </is>
      </c>
      <c r="K13" s="108" t="inlineStr">
        <is>
          <t>Location</t>
        </is>
      </c>
      <c r="L13" s="108" t="inlineStr">
        <is>
          <t>Action Required</t>
        </is>
      </c>
    </row>
    <row r="14" ht="18" customHeight="1" s="60">
      <c r="A14" s="103" t="inlineStr">
        <is>
          <t>EMP006</t>
        </is>
      </c>
      <c r="B14" s="104" t="inlineStr">
        <is>
          <t>Sristi Choubey</t>
        </is>
      </c>
      <c r="C14" s="104" t="inlineStr">
        <is>
          <t>Quality Analyst</t>
        </is>
      </c>
      <c r="D14" s="104" t="inlineStr">
        <is>
          <t>Quality</t>
        </is>
      </c>
      <c r="E14" s="103" t="n">
        <v>327</v>
      </c>
      <c r="F14" s="103" t="inlineStr">
        <is>
          <t>Shadow Mode</t>
        </is>
      </c>
      <c r="G14" s="103" t="inlineStr">
        <is>
          <t>Innovation Pool</t>
        </is>
      </c>
      <c r="H14" s="103" t="inlineStr"/>
      <c r="I14" s="104" t="inlineStr">
        <is>
          <t>Selenium</t>
        </is>
      </c>
      <c r="J14" s="104" t="n">
        <v>90</v>
      </c>
      <c r="K14" s="104" t="inlineStr">
        <is>
          <t>Automation</t>
        </is>
      </c>
      <c r="L14" s="104" t="inlineStr">
        <is>
          <t>Manager review this week — map to demand or initiate upskilling</t>
        </is>
      </c>
    </row>
    <row r="15" ht="18" customHeight="1" s="60">
      <c r="A15" s="105" t="inlineStr">
        <is>
          <t>EMP007</t>
        </is>
      </c>
      <c r="B15" s="106" t="inlineStr">
        <is>
          <t>Pooja Sahu</t>
        </is>
      </c>
      <c r="C15" s="106" t="inlineStr">
        <is>
          <t>Quality Analyst</t>
        </is>
      </c>
      <c r="D15" s="106" t="inlineStr">
        <is>
          <t>Quality</t>
        </is>
      </c>
      <c r="E15" s="105" t="n">
        <v>327</v>
      </c>
      <c r="F15" s="105" t="inlineStr">
        <is>
          <t>On Leave</t>
        </is>
      </c>
      <c r="G15" s="105" t="inlineStr">
        <is>
          <t>Innovation Pool</t>
        </is>
      </c>
      <c r="H15" s="105" t="inlineStr"/>
      <c r="I15" s="106" t="inlineStr">
        <is>
          <t>Testim for Mobile &amp; Web Application, API…</t>
        </is>
      </c>
      <c r="J15" s="106" t="inlineStr"/>
      <c r="K15" s="106" t="inlineStr">
        <is>
          <t>Automation</t>
        </is>
      </c>
      <c r="L15" s="106" t="inlineStr">
        <is>
          <t>Manager review this week — map to demand or initiate upskilling</t>
        </is>
      </c>
    </row>
    <row r="16" ht="18" customHeight="1" s="60">
      <c r="A16" s="103" t="inlineStr">
        <is>
          <t>EMP008</t>
        </is>
      </c>
      <c r="B16" s="104" t="inlineStr">
        <is>
          <t>Pallavi Tiwari</t>
        </is>
      </c>
      <c r="C16" s="104" t="inlineStr">
        <is>
          <t>Quality Analyst</t>
        </is>
      </c>
      <c r="D16" s="104" t="inlineStr">
        <is>
          <t>Quality</t>
        </is>
      </c>
      <c r="E16" s="103" t="n">
        <v>312</v>
      </c>
      <c r="F16" s="103" t="inlineStr">
        <is>
          <t>Available</t>
        </is>
      </c>
      <c r="G16" s="103" t="inlineStr">
        <is>
          <t>Innovation Pool</t>
        </is>
      </c>
      <c r="H16" s="103" t="inlineStr"/>
      <c r="I16" s="104" t="inlineStr">
        <is>
          <t>QA Touch, Test Rail, MS Excel, Postman, …</t>
        </is>
      </c>
      <c r="J16" s="104" t="n">
        <v>85</v>
      </c>
      <c r="K16" s="104" t="inlineStr">
        <is>
          <t>Automation</t>
        </is>
      </c>
      <c r="L16" s="104" t="inlineStr">
        <is>
          <t>Manager review this week — map to demand or initiate upskilling</t>
        </is>
      </c>
    </row>
    <row r="17" ht="18" customHeight="1" s="60">
      <c r="A17" s="105" t="inlineStr">
        <is>
          <t>EMP010</t>
        </is>
      </c>
      <c r="B17" s="106" t="inlineStr">
        <is>
          <t>Divya kashyap</t>
        </is>
      </c>
      <c r="C17" s="106" t="inlineStr">
        <is>
          <t>Data Engineer</t>
        </is>
      </c>
      <c r="D17" s="106" t="inlineStr">
        <is>
          <t>Delivery</t>
        </is>
      </c>
      <c r="E17" s="105" t="n">
        <v>268</v>
      </c>
      <c r="F17" s="105" t="inlineStr">
        <is>
          <t>Available</t>
        </is>
      </c>
      <c r="G17" s="105" t="inlineStr">
        <is>
          <t>Innovation Pool</t>
        </is>
      </c>
      <c r="H17" s="105" t="inlineStr"/>
      <c r="I17" s="106" t="inlineStr">
        <is>
          <t>MySQL server, SQL querying, ADF, Python,…</t>
        </is>
      </c>
      <c r="J17" s="106" t="n">
        <v>90</v>
      </c>
      <c r="K17" s="106" t="inlineStr">
        <is>
          <t>Data Analyst</t>
        </is>
      </c>
      <c r="L17" s="106" t="inlineStr">
        <is>
          <t>Manager review this week — map to demand or initiate upskilling</t>
        </is>
      </c>
    </row>
    <row r="18" ht="18" customHeight="1" s="60">
      <c r="A18" s="103" t="inlineStr">
        <is>
          <t>EMP011</t>
        </is>
      </c>
      <c r="B18" s="104" t="inlineStr">
        <is>
          <t>Muskan Goyal</t>
        </is>
      </c>
      <c r="C18" s="104" t="inlineStr">
        <is>
          <t>Frontend Developer</t>
        </is>
      </c>
      <c r="D18" s="104" t="inlineStr">
        <is>
          <t>Delivery</t>
        </is>
      </c>
      <c r="E18" s="103" t="n">
        <v>267</v>
      </c>
      <c r="F18" s="103" t="inlineStr">
        <is>
          <t>Available</t>
        </is>
      </c>
      <c r="G18" s="103" t="inlineStr">
        <is>
          <t>Innovation Pool</t>
        </is>
      </c>
      <c r="H18" s="103" t="inlineStr"/>
      <c r="I18" s="104" t="inlineStr">
        <is>
          <t>html, css, bootstrap,javascript</t>
        </is>
      </c>
      <c r="J18" s="104" t="n">
        <v>90</v>
      </c>
      <c r="K18" s="104" t="inlineStr">
        <is>
          <t>BI</t>
        </is>
      </c>
      <c r="L18" s="104" t="inlineStr">
        <is>
          <t>Manager review this week — map to demand or initiate upskilling</t>
        </is>
      </c>
    </row>
    <row r="19" ht="18" customHeight="1" s="60">
      <c r="A19" s="105" t="inlineStr">
        <is>
          <t>EMP013</t>
        </is>
      </c>
      <c r="B19" s="106" t="inlineStr">
        <is>
          <t>Pooja Ruchandani</t>
        </is>
      </c>
      <c r="C19" s="106" t="inlineStr">
        <is>
          <t>Business Analyst</t>
        </is>
      </c>
      <c r="D19" s="106" t="inlineStr">
        <is>
          <t>Delivery</t>
        </is>
      </c>
      <c r="E19" s="105" t="n">
        <v>262</v>
      </c>
      <c r="F19" s="105" t="inlineStr">
        <is>
          <t>Available</t>
        </is>
      </c>
      <c r="G19" s="105" t="inlineStr">
        <is>
          <t>Innovation Pool</t>
        </is>
      </c>
      <c r="H19" s="105" t="inlineStr"/>
      <c r="I19" s="106" t="inlineStr">
        <is>
          <t>Project Management</t>
        </is>
      </c>
      <c r="J19" s="106" t="inlineStr"/>
      <c r="K19" s="106" t="inlineStr"/>
      <c r="L19" s="106" t="inlineStr">
        <is>
          <t>Manager review this week — map to demand or initiate upskilling</t>
        </is>
      </c>
    </row>
    <row r="21" ht="26" customHeight="1" s="60">
      <c r="A21" s="109" t="inlineStr">
        <is>
          <t>⚠  WATCH — 90–179 Days  (6 resources)</t>
        </is>
      </c>
    </row>
    <row r="22" ht="18" customHeight="1" s="60">
      <c r="A22" s="110" t="inlineStr">
        <is>
          <t>Emp ID</t>
        </is>
      </c>
      <c r="B22" s="110" t="inlineStr">
        <is>
          <t>Name</t>
        </is>
      </c>
      <c r="C22" s="110" t="inlineStr">
        <is>
          <t>Profile</t>
        </is>
      </c>
      <c r="D22" s="110" t="inlineStr">
        <is>
          <t>Dept</t>
        </is>
      </c>
      <c r="E22" s="110" t="inlineStr">
        <is>
          <t>Bench Days</t>
        </is>
      </c>
      <c r="F22" s="110" t="inlineStr">
        <is>
          <t>Status</t>
        </is>
      </c>
      <c r="G22" s="110" t="inlineStr">
        <is>
          <t>Bench Type</t>
        </is>
      </c>
      <c r="H22" s="110" t="inlineStr">
        <is>
          <t>Pool</t>
        </is>
      </c>
      <c r="I22" s="110" t="inlineStr">
        <is>
          <t>Primary Skill</t>
        </is>
      </c>
      <c r="J22" s="110" t="inlineStr">
        <is>
          <t>Preferred Role</t>
        </is>
      </c>
      <c r="K22" s="110" t="inlineStr">
        <is>
          <t>Location</t>
        </is>
      </c>
      <c r="L22" s="110" t="inlineStr">
        <is>
          <t>Action Required</t>
        </is>
      </c>
    </row>
    <row r="23" ht="18" customHeight="1" s="60">
      <c r="A23" s="103" t="inlineStr">
        <is>
          <t>EMP014</t>
        </is>
      </c>
      <c r="B23" s="104" t="inlineStr">
        <is>
          <t>Abha Tiwari</t>
        </is>
      </c>
      <c r="C23" s="104" t="inlineStr">
        <is>
          <t>Backend Engineer</t>
        </is>
      </c>
      <c r="D23" s="104" t="inlineStr">
        <is>
          <t>Delivery</t>
        </is>
      </c>
      <c r="E23" s="103" t="n">
        <v>174</v>
      </c>
      <c r="F23" s="103" t="inlineStr">
        <is>
          <t>On Leave</t>
        </is>
      </c>
      <c r="G23" s="103" t="inlineStr">
        <is>
          <t>Innovation Pool</t>
        </is>
      </c>
      <c r="H23" s="103" t="inlineStr"/>
      <c r="I23" s="104" t="inlineStr">
        <is>
          <t>Java</t>
        </is>
      </c>
      <c r="J23" s="104" t="n">
        <v>100</v>
      </c>
      <c r="K23" s="104" t="inlineStr">
        <is>
          <t>Java Developer</t>
        </is>
      </c>
      <c r="L23" s="104" t="inlineStr">
        <is>
          <t>Schedule check-in — verify training / shadow mode progress</t>
        </is>
      </c>
    </row>
    <row r="24" ht="18" customHeight="1" s="60">
      <c r="A24" s="105" t="inlineStr">
        <is>
          <t>EMP012</t>
        </is>
      </c>
      <c r="B24" s="106" t="inlineStr">
        <is>
          <t>Somya Ranjan</t>
        </is>
      </c>
      <c r="C24" s="106" t="inlineStr">
        <is>
          <t>AI Engineer</t>
        </is>
      </c>
      <c r="D24" s="106" t="inlineStr">
        <is>
          <t>Delivery</t>
        </is>
      </c>
      <c r="E24" s="105" t="n">
        <v>145</v>
      </c>
      <c r="F24" s="105" t="inlineStr">
        <is>
          <t>Available</t>
        </is>
      </c>
      <c r="G24" s="105" t="inlineStr">
        <is>
          <t>Innovation Pool</t>
        </is>
      </c>
      <c r="H24" s="105" t="inlineStr"/>
      <c r="I24" s="106" t="inlineStr">
        <is>
          <t>Python, AI</t>
        </is>
      </c>
      <c r="J24" s="106" t="n">
        <v>100</v>
      </c>
      <c r="K24" s="106" t="inlineStr">
        <is>
          <t>AI Engineer</t>
        </is>
      </c>
      <c r="L24" s="106" t="inlineStr">
        <is>
          <t>Schedule check-in — verify training / shadow mode progress</t>
        </is>
      </c>
    </row>
    <row r="25" ht="18" customHeight="1" s="60">
      <c r="A25" s="103" t="inlineStr">
        <is>
          <t>EMP015</t>
        </is>
      </c>
      <c r="B25" s="104" t="inlineStr">
        <is>
          <t>Dev Narayan</t>
        </is>
      </c>
      <c r="C25" s="104" t="inlineStr">
        <is>
          <t>Backend Engineer</t>
        </is>
      </c>
      <c r="D25" s="104" t="inlineStr">
        <is>
          <t>Delivery</t>
        </is>
      </c>
      <c r="E25" s="103" t="n">
        <v>115</v>
      </c>
      <c r="F25" s="103" t="inlineStr">
        <is>
          <t>Available</t>
        </is>
      </c>
      <c r="G25" s="103" t="inlineStr">
        <is>
          <t>Innovation Pool</t>
        </is>
      </c>
      <c r="H25" s="103" t="inlineStr"/>
      <c r="I25" s="104" t="inlineStr">
        <is>
          <t>Java, Python</t>
        </is>
      </c>
      <c r="J25" s="104" t="n">
        <v>100</v>
      </c>
      <c r="K25" s="104" t="inlineStr">
        <is>
          <t>Java/Python</t>
        </is>
      </c>
      <c r="L25" s="104" t="inlineStr">
        <is>
          <t>Schedule check-in — verify training / shadow mode progress</t>
        </is>
      </c>
    </row>
    <row r="26" ht="18" customHeight="1" s="60">
      <c r="A26" s="105" t="inlineStr">
        <is>
          <t>EMP016</t>
        </is>
      </c>
      <c r="B26" s="106" t="inlineStr">
        <is>
          <t>Yogesh Sahu</t>
        </is>
      </c>
      <c r="C26" s="106" t="inlineStr">
        <is>
          <t>Frontend Developer</t>
        </is>
      </c>
      <c r="D26" s="106" t="inlineStr">
        <is>
          <t>Delivery</t>
        </is>
      </c>
      <c r="E26" s="105" t="n">
        <v>115</v>
      </c>
      <c r="F26" s="105" t="inlineStr">
        <is>
          <t>Available</t>
        </is>
      </c>
      <c r="G26" s="105" t="inlineStr">
        <is>
          <t>Innovation Pool</t>
        </is>
      </c>
      <c r="H26" s="105" t="inlineStr"/>
      <c r="I26" s="106" t="inlineStr">
        <is>
          <t>TIL, Windsor+Nestive+Sythetiq, Time trac…</t>
        </is>
      </c>
      <c r="J26" s="106" t="n">
        <v>100</v>
      </c>
      <c r="K26" s="106" t="inlineStr">
        <is>
          <t xml:space="preserve">React </t>
        </is>
      </c>
      <c r="L26" s="106" t="inlineStr">
        <is>
          <t>Schedule check-in — verify training / shadow mode progress</t>
        </is>
      </c>
    </row>
    <row r="27" ht="18" customHeight="1" s="60">
      <c r="A27" s="103" t="inlineStr">
        <is>
          <t>EMP017</t>
        </is>
      </c>
      <c r="B27" s="104" t="inlineStr">
        <is>
          <t>Katyayani Sahu</t>
        </is>
      </c>
      <c r="C27" s="104" t="inlineStr">
        <is>
          <t>Frontend Developer</t>
        </is>
      </c>
      <c r="D27" s="104" t="inlineStr">
        <is>
          <t>Delivery</t>
        </is>
      </c>
      <c r="E27" s="103" t="n">
        <v>115</v>
      </c>
      <c r="F27" s="103" t="inlineStr">
        <is>
          <t>Shadow Mode</t>
        </is>
      </c>
      <c r="G27" s="103" t="inlineStr">
        <is>
          <t>Learner Pool</t>
        </is>
      </c>
      <c r="H27" s="103" t="inlineStr"/>
      <c r="I27" s="104" t="inlineStr">
        <is>
          <t>html, css, bootstrap,javascript</t>
        </is>
      </c>
      <c r="J27" s="104" t="inlineStr"/>
      <c r="K27" s="104" t="inlineStr"/>
      <c r="L27" s="104" t="inlineStr">
        <is>
          <t>Schedule check-in — verify training / shadow mode progress</t>
        </is>
      </c>
    </row>
    <row r="28" ht="18" customHeight="1" s="60">
      <c r="A28" s="105" t="inlineStr">
        <is>
          <t>EMP018</t>
        </is>
      </c>
      <c r="B28" s="106" t="inlineStr">
        <is>
          <t>Rajkumari Kashyap</t>
        </is>
      </c>
      <c r="C28" s="106" t="inlineStr">
        <is>
          <t>Intern</t>
        </is>
      </c>
      <c r="D28" s="106" t="inlineStr">
        <is>
          <t>Training</t>
        </is>
      </c>
      <c r="E28" s="105" t="n">
        <v>100</v>
      </c>
      <c r="F28" s="105" t="inlineStr">
        <is>
          <t>In Training</t>
        </is>
      </c>
      <c r="G28" s="105" t="inlineStr">
        <is>
          <t>Learner Pool</t>
        </is>
      </c>
      <c r="H28" s="105" t="inlineStr"/>
      <c r="I28" s="106" t="inlineStr">
        <is>
          <t>Python, AI</t>
        </is>
      </c>
      <c r="J28" s="106" t="inlineStr"/>
      <c r="K28" s="106" t="inlineStr"/>
      <c r="L28" s="106" t="inlineStr">
        <is>
          <t>Schedule check-in — verify training / shadow mode progress</t>
        </is>
      </c>
    </row>
    <row r="30" ht="26" customHeight="1" s="60">
      <c r="A30" s="111" t="inlineStr">
        <is>
          <t>✅ ON TRACK — Under 90 Days  (4 resources)</t>
        </is>
      </c>
    </row>
    <row r="31" ht="18" customHeight="1" s="60">
      <c r="A31" s="112" t="inlineStr">
        <is>
          <t>Emp ID</t>
        </is>
      </c>
      <c r="B31" s="112" t="inlineStr">
        <is>
          <t>Name</t>
        </is>
      </c>
      <c r="C31" s="112" t="inlineStr">
        <is>
          <t>Profile</t>
        </is>
      </c>
      <c r="D31" s="112" t="inlineStr">
        <is>
          <t>Dept</t>
        </is>
      </c>
      <c r="E31" s="112" t="inlineStr">
        <is>
          <t>Bench Days</t>
        </is>
      </c>
      <c r="F31" s="112" t="inlineStr">
        <is>
          <t>Status</t>
        </is>
      </c>
      <c r="G31" s="112" t="inlineStr">
        <is>
          <t>Bench Type</t>
        </is>
      </c>
      <c r="H31" s="112" t="inlineStr">
        <is>
          <t>Pool</t>
        </is>
      </c>
      <c r="I31" s="112" t="inlineStr">
        <is>
          <t>Primary Skill</t>
        </is>
      </c>
      <c r="J31" s="112" t="inlineStr">
        <is>
          <t>Preferred Role</t>
        </is>
      </c>
      <c r="K31" s="112" t="inlineStr">
        <is>
          <t>Location</t>
        </is>
      </c>
      <c r="L31" s="112" t="inlineStr">
        <is>
          <t>Action Required</t>
        </is>
      </c>
    </row>
    <row r="32" ht="18" customHeight="1" s="60">
      <c r="A32" s="103" t="inlineStr">
        <is>
          <t>EMP020</t>
        </is>
      </c>
      <c r="B32" s="104" t="inlineStr">
        <is>
          <t>Juhi Gupta</t>
        </is>
      </c>
      <c r="C32" s="104" t="inlineStr">
        <is>
          <t>Intern</t>
        </is>
      </c>
      <c r="D32" s="104" t="inlineStr">
        <is>
          <t>Training</t>
        </is>
      </c>
      <c r="E32" s="103" t="n">
        <v>40</v>
      </c>
      <c r="F32" s="103" t="inlineStr">
        <is>
          <t>In Training</t>
        </is>
      </c>
      <c r="G32" s="103" t="inlineStr">
        <is>
          <t>Learner Pool</t>
        </is>
      </c>
      <c r="H32" s="103" t="inlineStr"/>
      <c r="I32" s="104" t="inlineStr">
        <is>
          <t>Python</t>
        </is>
      </c>
      <c r="J32" s="104" t="inlineStr"/>
      <c r="K32" s="104" t="inlineStr"/>
      <c r="L32" s="104" t="inlineStr">
        <is>
          <t>Monitor — within acceptable bench window</t>
        </is>
      </c>
    </row>
    <row r="33" ht="18" customHeight="1" s="60">
      <c r="A33" s="105" t="inlineStr">
        <is>
          <t>EMP019</t>
        </is>
      </c>
      <c r="B33" s="106" t="inlineStr">
        <is>
          <t>Radhika Boldiya</t>
        </is>
      </c>
      <c r="C33" s="106" t="inlineStr">
        <is>
          <t>Intern</t>
        </is>
      </c>
      <c r="D33" s="106" t="inlineStr">
        <is>
          <t>Training</t>
        </is>
      </c>
      <c r="E33" s="105" t="n">
        <v>33</v>
      </c>
      <c r="F33" s="105" t="inlineStr">
        <is>
          <t>In Training</t>
        </is>
      </c>
      <c r="G33" s="105" t="inlineStr">
        <is>
          <t>Learner Pool</t>
        </is>
      </c>
      <c r="H33" s="105" t="inlineStr"/>
      <c r="I33" s="106" t="inlineStr">
        <is>
          <t>Python, Devops</t>
        </is>
      </c>
      <c r="J33" s="106" t="inlineStr"/>
      <c r="K33" s="106" t="inlineStr"/>
      <c r="L33" s="106" t="inlineStr">
        <is>
          <t>Monitor — within acceptable bench window</t>
        </is>
      </c>
    </row>
    <row r="34" ht="18" customHeight="1" s="60">
      <c r="A34" s="103" t="inlineStr">
        <is>
          <t>EMP021</t>
        </is>
      </c>
      <c r="B34" s="104" t="inlineStr">
        <is>
          <t>Sana Fatima</t>
        </is>
      </c>
      <c r="C34" s="104" t="inlineStr">
        <is>
          <t>Intern</t>
        </is>
      </c>
      <c r="D34" s="104" t="inlineStr">
        <is>
          <t>Training</t>
        </is>
      </c>
      <c r="E34" s="103" t="n">
        <v>2</v>
      </c>
      <c r="F34" s="103" t="inlineStr">
        <is>
          <t>In Training</t>
        </is>
      </c>
      <c r="G34" s="103" t="inlineStr">
        <is>
          <t>Learner Pool</t>
        </is>
      </c>
      <c r="H34" s="103" t="inlineStr"/>
      <c r="I34" s="104" t="inlineStr">
        <is>
          <t>Python</t>
        </is>
      </c>
      <c r="J34" s="104" t="inlineStr"/>
      <c r="K34" s="104" t="inlineStr"/>
      <c r="L34" s="104" t="inlineStr">
        <is>
          <t>Monitor — within acceptable bench window</t>
        </is>
      </c>
    </row>
    <row r="35" ht="18" customHeight="1" s="60">
      <c r="A35" s="105" t="inlineStr">
        <is>
          <t>EMP022</t>
        </is>
      </c>
      <c r="B35" s="106" t="inlineStr">
        <is>
          <t>Harsh Barmeda</t>
        </is>
      </c>
      <c r="C35" s="106" t="inlineStr">
        <is>
          <t>Intern</t>
        </is>
      </c>
      <c r="D35" s="106" t="inlineStr">
        <is>
          <t>Training</t>
        </is>
      </c>
      <c r="E35" s="105" t="n">
        <v>2</v>
      </c>
      <c r="F35" s="105" t="inlineStr">
        <is>
          <t>In Training</t>
        </is>
      </c>
      <c r="G35" s="105" t="inlineStr">
        <is>
          <t>Learner Pool</t>
        </is>
      </c>
      <c r="H35" s="105" t="inlineStr"/>
      <c r="I35" s="106" t="inlineStr">
        <is>
          <t>Python</t>
        </is>
      </c>
      <c r="J35" s="106" t="inlineStr"/>
      <c r="K35" s="106" t="inlineStr"/>
      <c r="L35" s="106" t="inlineStr">
        <is>
          <t>Monitor — within acceptable bench window</t>
        </is>
      </c>
    </row>
  </sheetData>
  <mergeCells count="10">
    <mergeCell ref="A30:L30"/>
    <mergeCell ref="A2:B2"/>
    <mergeCell ref="C2:D2"/>
    <mergeCell ref="G2:H2"/>
    <mergeCell ref="E2:F2"/>
    <mergeCell ref="A1:L1"/>
    <mergeCell ref="I2:L2"/>
    <mergeCell ref="A21:L21"/>
    <mergeCell ref="A12:L1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F77DD"/>
    <outlinePr summaryBelow="1" summaryRight="1"/>
    <pageSetUpPr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baseColWidth="8" defaultRowHeight="15"/>
  <cols>
    <col width="10" customWidth="1" style="60" min="1" max="1"/>
    <col width="20" customWidth="1" style="60" min="2" max="2"/>
    <col width="14" customWidth="1" style="60" min="3" max="3"/>
    <col width="16" customWidth="1" style="60" min="4" max="4"/>
    <col width="14" customWidth="1" style="60" min="5" max="5"/>
    <col width="12" customWidth="1" style="60" min="6" max="6"/>
    <col width="14" customWidth="1" style="60" min="7" max="7"/>
    <col width="16" customWidth="1" style="60" min="8" max="9"/>
    <col width="14" customWidth="1" style="60" min="10" max="10"/>
    <col width="16" customWidth="1" style="60" min="11" max="11"/>
    <col width="24" customWidth="1" style="60" min="12" max="12"/>
  </cols>
  <sheetData>
    <row r="1" ht="27.95" customHeight="1" s="60">
      <c r="A1" s="45" t="inlineStr">
        <is>
          <t>POOL REVIEW LOG — Learner Pool → Decision Tracker (Day 60 Review)</t>
        </is>
      </c>
    </row>
    <row r="2" ht="21.95" customHeight="1" s="60">
      <c r="A2" s="54" t="inlineStr">
        <is>
          <t>Emp ID</t>
        </is>
      </c>
      <c r="B2" s="54" t="inlineStr">
        <is>
          <t>Name</t>
        </is>
      </c>
      <c r="C2" s="54" t="inlineStr">
        <is>
          <t>Pool Entry Date</t>
        </is>
      </c>
      <c r="D2" s="54" t="inlineStr">
        <is>
          <t>Review Date (Day 60)</t>
        </is>
      </c>
      <c r="E2" s="54" t="inlineStr">
        <is>
          <t>Performance Rating</t>
        </is>
      </c>
      <c r="F2" s="54" t="inlineStr">
        <is>
          <t>Training %</t>
        </is>
      </c>
      <c r="G2" s="54" t="inlineStr">
        <is>
          <t>Skill Improvement</t>
        </is>
      </c>
      <c r="H2" s="54" t="inlineStr">
        <is>
          <t>Reviewer</t>
        </is>
      </c>
      <c r="I2" s="54" t="inlineStr">
        <is>
          <t>Review Outcome</t>
        </is>
      </c>
      <c r="J2" s="54" t="inlineStr">
        <is>
          <t>Outcome Date</t>
        </is>
      </c>
      <c r="K2" s="54" t="inlineStr">
        <is>
          <t>Innovation Pool Entry</t>
        </is>
      </c>
      <c r="L2" s="54" t="inlineStr">
        <is>
          <t>Remarks</t>
        </is>
      </c>
    </row>
    <row r="3" ht="20.1" customHeight="1" s="60">
      <c r="A3" s="2" t="inlineStr">
        <is>
          <t>EMP017</t>
        </is>
      </c>
      <c r="B3" s="2" t="inlineStr">
        <is>
          <t>Katyayani</t>
        </is>
      </c>
      <c r="C3" s="3" t="n">
        <v>46113</v>
      </c>
      <c r="D3" s="3" t="n">
        <v>46172</v>
      </c>
      <c r="E3" s="2" t="inlineStr">
        <is>
          <t>Good</t>
        </is>
      </c>
      <c r="F3" s="69" t="n">
        <v>60</v>
      </c>
      <c r="G3" s="2" t="inlineStr">
        <is>
          <t>Medium</t>
        </is>
      </c>
      <c r="H3" s="2" t="inlineStr">
        <is>
          <t>Training Head</t>
        </is>
      </c>
      <c r="I3" s="2" t="inlineStr">
        <is>
          <t>Release</t>
        </is>
      </c>
      <c r="J3" s="23" t="n">
        <v>46203</v>
      </c>
      <c r="K3" s="2" t="n"/>
      <c r="L3" s="2" t="inlineStr">
        <is>
          <t>June 30 LWD</t>
        </is>
      </c>
    </row>
  </sheetData>
  <autoFilter ref="A2:L2"/>
  <mergeCells count="1">
    <mergeCell ref="A1:L1"/>
  </mergeCells>
  <conditionalFormatting sqref="I3:I46">
    <cfRule type="cellIs" priority="1" operator="equal" dxfId="6">
      <formula>"Promoted"</formula>
    </cfRule>
    <cfRule type="cellIs" priority="2" operator="equal" dxfId="5">
      <formula>"Exit"</formula>
    </cfRule>
    <cfRule type="cellIs" priority="3" operator="equal" dxfId="4">
      <formula>"Pending"</formula>
    </cfRule>
  </conditionalFormatting>
  <conditionalFormatting sqref="I3:I50">
    <cfRule type="cellIs" priority="4" operator="equal" dxfId="21">
      <formula>"Release"</formula>
    </cfRule>
    <cfRule type="cellIs" priority="5" operator="equal" dxfId="27">
      <formula>"Deferred"</formula>
    </cfRule>
  </conditionalFormatting>
  <dataValidations count="1">
    <dataValidation sqref="I3:I100" showDropDown="0" showInputMessage="0" showErrorMessage="0" allowBlank="1" type="list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D9E75"/>
    <outlinePr summaryBelow="1" summaryRight="1"/>
    <pageSetUpPr/>
  </sheetPr>
  <dimension ref="A1:P24"/>
  <sheetViews>
    <sheetView showGridLines="0" workbookViewId="0">
      <pane xSplit="2" ySplit="2" topLeftCell="D3" activePane="bottomRight" state="frozen"/>
      <selection pane="bottomRight" activeCell="P24" sqref="P24"/>
      <selection pane="bottomLeft" activeCell="A1" sqref="A1"/>
      <selection pane="topRight" activeCell="A1" sqref="A1"/>
    </sheetView>
  </sheetViews>
  <sheetFormatPr baseColWidth="8" defaultRowHeight="15"/>
  <cols>
    <col width="10" customWidth="1" style="60" min="1" max="1"/>
    <col width="20" customWidth="1" style="60" min="2" max="2"/>
    <col width="11" customWidth="1" style="60" min="3" max="15"/>
    <col width="12" customWidth="1" style="60" min="16" max="16"/>
  </cols>
  <sheetData>
    <row r="1" ht="27.95" customHeight="1" s="60">
      <c r="A1" s="45" t="inlineStr">
        <is>
          <t>SKILL MATRIX — Proficiency Tracker (1=Beginner, 2=Intermediate, 3=Advanced, 4=Expert)</t>
        </is>
      </c>
    </row>
    <row r="2" ht="21.95" customHeight="1" s="60">
      <c r="A2" s="51" t="inlineStr">
        <is>
          <t>Emp ID</t>
        </is>
      </c>
      <c r="B2" s="51" t="inlineStr">
        <is>
          <t>Name</t>
        </is>
      </c>
      <c r="C2" s="51" t="inlineStr">
        <is>
          <t>React.js</t>
        </is>
      </c>
      <c r="D2" s="51" t="inlineStr">
        <is>
          <t>Node.js</t>
        </is>
      </c>
      <c r="E2" s="51" t="inlineStr">
        <is>
          <t>Java</t>
        </is>
      </c>
      <c r="F2" s="51" t="inlineStr">
        <is>
          <t>Python</t>
        </is>
      </c>
      <c r="G2" s="51" t="inlineStr">
        <is>
          <t>SQL</t>
        </is>
      </c>
      <c r="H2" s="51" t="inlineStr">
        <is>
          <t>AWS</t>
        </is>
      </c>
      <c r="I2" s="51" t="inlineStr">
        <is>
          <t>Azure</t>
        </is>
      </c>
      <c r="J2" s="51" t="inlineStr">
        <is>
          <t>DevOps/K8s</t>
        </is>
      </c>
      <c r="K2" s="51" t="inlineStr">
        <is>
          <t>Angular</t>
        </is>
      </c>
      <c r="L2" s="51" t="inlineStr">
        <is>
          <t>QA/Selenium</t>
        </is>
      </c>
      <c r="M2" s="51" t="inlineStr">
        <is>
          <t>Data/BI</t>
        </is>
      </c>
      <c r="N2" s="51" t="inlineStr">
        <is>
          <t>Agile/BA</t>
        </is>
      </c>
      <c r="O2" s="51" t="inlineStr">
        <is>
          <t>GenAI/LLM</t>
        </is>
      </c>
      <c r="P2" s="51" t="inlineStr">
        <is>
          <t>Overall Avg</t>
        </is>
      </c>
    </row>
    <row r="3" ht="20.1" customHeight="1" s="60">
      <c r="A3" s="2" t="inlineStr">
        <is>
          <t>EMP001</t>
        </is>
      </c>
      <c r="B3" s="2" t="inlineStr">
        <is>
          <t>Deepak Bharta</t>
        </is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 s="2" t="n">
        <v>0</v>
      </c>
      <c r="P3" s="8">
        <f>IFERROR(AVERAGEIF(C3:O3,"&gt;0"),0)</f>
        <v/>
      </c>
    </row>
    <row r="4" ht="20.1" customHeight="1" s="60">
      <c r="A4" s="5" t="inlineStr">
        <is>
          <t>EMP002</t>
        </is>
      </c>
      <c r="B4" s="5" t="inlineStr">
        <is>
          <t>Parul Paul</t>
        </is>
      </c>
      <c r="C4" s="5" t="n">
        <v>0</v>
      </c>
      <c r="D4" s="5" t="n">
        <v>0</v>
      </c>
      <c r="E4" s="5" t="n">
        <v>0</v>
      </c>
      <c r="F4" s="5" t="n">
        <v>2</v>
      </c>
      <c r="G4" s="5" t="n">
        <v>2</v>
      </c>
      <c r="H4" s="5" t="n">
        <v>2</v>
      </c>
      <c r="I4" s="5" t="n">
        <v>2</v>
      </c>
      <c r="J4" s="5" t="n">
        <v>2</v>
      </c>
      <c r="K4" s="5" t="n">
        <v>0</v>
      </c>
      <c r="L4" s="5" t="n">
        <v>0</v>
      </c>
      <c r="M4" s="5" t="n">
        <v>2</v>
      </c>
      <c r="N4" s="5" t="n">
        <v>2</v>
      </c>
      <c r="O4" s="5" t="n">
        <v>2</v>
      </c>
      <c r="P4" s="9">
        <f>IFERROR(AVERAGEIF(C4:O4,"&gt;0"),0)</f>
        <v/>
      </c>
    </row>
    <row r="5" ht="20.1" customHeight="1" s="60">
      <c r="A5" s="2" t="inlineStr">
        <is>
          <t>EMP003</t>
        </is>
      </c>
      <c r="B5" s="2" t="inlineStr">
        <is>
          <t>Nagender Nandrey</t>
        </is>
      </c>
      <c r="C5" s="2" t="n">
        <v>0</v>
      </c>
      <c r="D5" s="2" t="n">
        <v>0</v>
      </c>
      <c r="E5" s="2" t="n">
        <v>0</v>
      </c>
      <c r="F5" s="2" t="n">
        <v>2</v>
      </c>
      <c r="G5" s="2" t="n">
        <v>2</v>
      </c>
      <c r="H5" s="2" t="n">
        <v>0</v>
      </c>
      <c r="I5" s="2" t="n">
        <v>2</v>
      </c>
      <c r="J5" s="2" t="n">
        <v>0</v>
      </c>
      <c r="K5" s="2" t="n">
        <v>0</v>
      </c>
      <c r="L5" s="2" t="n">
        <v>0</v>
      </c>
      <c r="M5" s="2" t="n">
        <v>2</v>
      </c>
      <c r="N5" s="2" t="n">
        <v>1</v>
      </c>
      <c r="O5" s="2" t="n">
        <v>0</v>
      </c>
      <c r="P5" s="8">
        <f>IFERROR(AVERAGEIF(C5:O5,"&gt;0"),0)</f>
        <v/>
      </c>
    </row>
    <row r="6" ht="20.1" customHeight="1" s="60">
      <c r="A6" s="5" t="inlineStr">
        <is>
          <t>EMP004</t>
        </is>
      </c>
      <c r="B6" s="5" t="inlineStr">
        <is>
          <t>Nishita Toshi</t>
        </is>
      </c>
      <c r="C6" s="5" t="n">
        <v>0</v>
      </c>
      <c r="D6" s="5" t="n">
        <v>0</v>
      </c>
      <c r="E6" s="5" t="n">
        <v>0</v>
      </c>
      <c r="F6" s="5" t="n">
        <v>2</v>
      </c>
      <c r="G6" s="5" t="n">
        <v>2</v>
      </c>
      <c r="H6" s="5" t="n">
        <v>2</v>
      </c>
      <c r="I6" s="5" t="n">
        <v>2</v>
      </c>
      <c r="J6" s="5" t="n">
        <v>2</v>
      </c>
      <c r="K6" s="5" t="n">
        <v>0</v>
      </c>
      <c r="L6" s="5" t="n">
        <v>0</v>
      </c>
      <c r="M6" s="5" t="n">
        <v>2</v>
      </c>
      <c r="N6" s="5" t="n">
        <v>2</v>
      </c>
      <c r="O6" s="5" t="n">
        <v>2</v>
      </c>
      <c r="P6" s="9">
        <f>IFERROR(AVERAGEIF(C6:O6,"&gt;0"),0)</f>
        <v/>
      </c>
    </row>
    <row r="7" ht="20.1" customHeight="1" s="60">
      <c r="A7" s="2" t="inlineStr">
        <is>
          <t>EMP005</t>
        </is>
      </c>
      <c r="B7" s="2" t="inlineStr">
        <is>
          <t>Vijay Karsh</t>
        </is>
      </c>
      <c r="C7" s="2" t="n">
        <v>1</v>
      </c>
      <c r="D7" s="2" t="n">
        <v>1</v>
      </c>
      <c r="E7" s="2" t="n">
        <v>0</v>
      </c>
      <c r="F7" s="2" t="n">
        <v>3</v>
      </c>
      <c r="G7" s="2" t="n">
        <v>2</v>
      </c>
      <c r="H7" s="2" t="n">
        <v>1</v>
      </c>
      <c r="I7" s="2" t="n">
        <v>1</v>
      </c>
      <c r="J7" s="2" t="n">
        <v>1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2</v>
      </c>
      <c r="P7" s="8">
        <f>IFERROR(AVERAGEIF(C7:O7,"&gt;0"),0)</f>
        <v/>
      </c>
    </row>
    <row r="8" ht="20.1" customHeight="1" s="60">
      <c r="A8" s="5" t="inlineStr">
        <is>
          <t>EMP006</t>
        </is>
      </c>
      <c r="B8" s="5" t="inlineStr">
        <is>
          <t>Sristi Choubey</t>
        </is>
      </c>
      <c r="C8" s="5" t="n">
        <v>0</v>
      </c>
      <c r="D8" s="5" t="n">
        <v>0</v>
      </c>
      <c r="E8" s="5" t="n">
        <v>0</v>
      </c>
      <c r="F8" s="5" t="n">
        <v>1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2</v>
      </c>
      <c r="M8" s="5" t="n">
        <v>0</v>
      </c>
      <c r="N8" s="5" t="n">
        <v>2</v>
      </c>
      <c r="O8" s="5" t="n">
        <v>0</v>
      </c>
      <c r="P8" s="9">
        <f>IFERROR(AVERAGEIF(C8:O8,"&gt;0"),0)</f>
        <v/>
      </c>
    </row>
    <row r="9" ht="20.1" customHeight="1" s="60">
      <c r="A9" s="2" t="inlineStr">
        <is>
          <t>EMP007</t>
        </is>
      </c>
      <c r="B9" s="2" t="inlineStr">
        <is>
          <t>Pooja Sahu</t>
        </is>
      </c>
      <c r="C9" s="2" t="n">
        <v>0</v>
      </c>
      <c r="D9" s="2" t="n">
        <v>0</v>
      </c>
      <c r="E9" s="2" t="n">
        <v>0</v>
      </c>
      <c r="F9" s="2" t="n">
        <v>1</v>
      </c>
      <c r="G9" s="2" t="n">
        <v>0</v>
      </c>
      <c r="H9" s="2" t="n">
        <v>0</v>
      </c>
      <c r="I9" s="2" t="n">
        <v>1</v>
      </c>
      <c r="J9" s="2" t="n">
        <v>1</v>
      </c>
      <c r="K9" s="2" t="n">
        <v>0</v>
      </c>
      <c r="L9" s="2" t="n">
        <v>2</v>
      </c>
      <c r="M9" s="2" t="n">
        <v>0</v>
      </c>
      <c r="N9" s="2" t="n">
        <v>1</v>
      </c>
      <c r="O9" s="2" t="n">
        <v>1</v>
      </c>
      <c r="P9" s="8">
        <f>IFERROR(AVERAGEIF(C9:O9,"&gt;0"),0)</f>
        <v/>
      </c>
    </row>
    <row r="10" ht="20.1" customHeight="1" s="60">
      <c r="A10" s="26" t="inlineStr">
        <is>
          <t>EMP008</t>
        </is>
      </c>
      <c r="B10" s="26" t="inlineStr">
        <is>
          <t>Pallavi Tiwari</t>
        </is>
      </c>
      <c r="C10" s="26" t="n">
        <v>0</v>
      </c>
      <c r="D10" s="26" t="n">
        <v>0</v>
      </c>
      <c r="E10" s="26" t="n">
        <v>0</v>
      </c>
      <c r="F10" s="26" t="n">
        <v>1</v>
      </c>
      <c r="G10" s="26" t="n">
        <v>1</v>
      </c>
      <c r="H10" s="26" t="n">
        <v>1</v>
      </c>
      <c r="I10" s="26" t="n">
        <v>0</v>
      </c>
      <c r="J10" s="26" t="n">
        <v>1</v>
      </c>
      <c r="K10" s="26" t="n">
        <v>2</v>
      </c>
      <c r="L10" s="26" t="n">
        <v>2</v>
      </c>
      <c r="M10" s="26" t="n">
        <v>0</v>
      </c>
      <c r="N10" s="26" t="n">
        <v>1</v>
      </c>
      <c r="O10" s="26" t="n">
        <v>1</v>
      </c>
      <c r="P10" s="44">
        <f>IFERROR(AVERAGEIF(C10:O10,"&gt;0"),0)</f>
        <v/>
      </c>
    </row>
    <row r="11" ht="14.25" customHeight="1" s="60">
      <c r="A11" s="41" t="inlineStr">
        <is>
          <t>EMP009</t>
        </is>
      </c>
      <c r="B11" s="43" t="inlineStr">
        <is>
          <t>Devansh Pratap Singh</t>
        </is>
      </c>
      <c r="C11" s="25" t="n">
        <v>0</v>
      </c>
      <c r="D11" s="25" t="n">
        <v>0</v>
      </c>
      <c r="E11" s="25" t="n">
        <v>0</v>
      </c>
      <c r="F11" s="25" t="n">
        <v>2</v>
      </c>
      <c r="G11" s="25" t="n">
        <v>2</v>
      </c>
      <c r="H11" s="25" t="n">
        <v>1</v>
      </c>
      <c r="I11" s="25" t="n">
        <v>1</v>
      </c>
      <c r="J11" s="25" t="n">
        <v>1</v>
      </c>
      <c r="K11" s="25" t="n">
        <v>0</v>
      </c>
      <c r="L11" s="25" t="n">
        <v>0</v>
      </c>
      <c r="M11" s="25" t="n">
        <v>1</v>
      </c>
      <c r="N11" s="25" t="n">
        <v>0</v>
      </c>
      <c r="O11" s="25" t="n">
        <v>2</v>
      </c>
      <c r="P11" s="44">
        <f>IFERROR(AVERAGEIF(C11:O11,"&gt;0"),0)</f>
        <v/>
      </c>
    </row>
    <row r="12" ht="14.25" customHeight="1" s="60">
      <c r="A12" s="41" t="inlineStr">
        <is>
          <t>EMP010</t>
        </is>
      </c>
      <c r="B12" s="25" t="inlineStr">
        <is>
          <t>Divya kashyap</t>
        </is>
      </c>
      <c r="C12" s="25" t="n">
        <v>0</v>
      </c>
      <c r="D12" s="25" t="n">
        <v>0</v>
      </c>
      <c r="E12" s="25" t="n">
        <v>0</v>
      </c>
      <c r="F12" s="25" t="n">
        <v>2</v>
      </c>
      <c r="G12" s="25" t="n">
        <v>3</v>
      </c>
      <c r="H12" s="25" t="n">
        <v>1</v>
      </c>
      <c r="I12" s="25" t="n">
        <v>1</v>
      </c>
      <c r="J12" s="25" t="n">
        <v>0</v>
      </c>
      <c r="K12" s="25" t="n">
        <v>0</v>
      </c>
      <c r="L12" s="25" t="n">
        <v>0</v>
      </c>
      <c r="M12" s="25" t="n">
        <v>2</v>
      </c>
      <c r="N12" s="25" t="n">
        <v>1</v>
      </c>
      <c r="O12" s="25" t="n">
        <v>2</v>
      </c>
      <c r="P12" s="44">
        <f>IFERROR(AVERAGEIF(C12:O12,"&gt;0"),0)</f>
        <v/>
      </c>
    </row>
    <row r="13" ht="14.25" customHeight="1" s="60">
      <c r="A13" s="41" t="inlineStr">
        <is>
          <t>EMP011</t>
        </is>
      </c>
      <c r="B13" s="25" t="inlineStr">
        <is>
          <t>Muskan Goyal</t>
        </is>
      </c>
      <c r="C13" s="25" t="n">
        <v>2</v>
      </c>
      <c r="D13" s="25" t="n">
        <v>0</v>
      </c>
      <c r="E13" s="25" t="n">
        <v>0</v>
      </c>
      <c r="F13" s="25" t="n">
        <v>1</v>
      </c>
      <c r="G13" s="25" t="n">
        <v>0</v>
      </c>
      <c r="H13" s="25" t="n">
        <v>1</v>
      </c>
      <c r="I13" s="25" t="n">
        <v>1</v>
      </c>
      <c r="J13" s="25" t="n">
        <v>0</v>
      </c>
      <c r="K13" s="25" t="n">
        <v>0</v>
      </c>
      <c r="L13" s="25" t="n">
        <v>0</v>
      </c>
      <c r="M13" s="25" t="n">
        <v>1</v>
      </c>
      <c r="N13" s="25" t="n">
        <v>1</v>
      </c>
      <c r="O13" s="25" t="n">
        <v>0</v>
      </c>
      <c r="P13" s="44">
        <f>IFERROR(AVERAGEIF(C13:O13,"&gt;0"),0)</f>
        <v/>
      </c>
    </row>
    <row r="14" ht="14.25" customHeight="1" s="60">
      <c r="A14" s="41" t="inlineStr">
        <is>
          <t>EMP012</t>
        </is>
      </c>
      <c r="B14" s="25" t="inlineStr">
        <is>
          <t>Somya Ranjan</t>
        </is>
      </c>
      <c r="C14" s="25" t="n">
        <v>0</v>
      </c>
      <c r="D14" s="25" t="n">
        <v>0</v>
      </c>
      <c r="E14" s="25" t="n">
        <v>0</v>
      </c>
      <c r="F14" s="25" t="n">
        <v>3</v>
      </c>
      <c r="G14" s="25" t="n">
        <v>1</v>
      </c>
      <c r="H14" s="25" t="n">
        <v>1</v>
      </c>
      <c r="I14" s="25" t="n">
        <v>1</v>
      </c>
      <c r="J14" s="25" t="n">
        <v>1</v>
      </c>
      <c r="K14" s="25" t="n">
        <v>0</v>
      </c>
      <c r="L14" s="25" t="n">
        <v>0</v>
      </c>
      <c r="M14" s="25" t="n">
        <v>2</v>
      </c>
      <c r="N14" s="25" t="n">
        <v>1</v>
      </c>
      <c r="O14" s="25" t="n">
        <v>2</v>
      </c>
      <c r="P14" s="44">
        <f>IFERROR(AVERAGEIF(C14:O14,"&gt;0"),0)</f>
        <v/>
      </c>
    </row>
    <row r="15" ht="14.25" customHeight="1" s="60">
      <c r="A15" s="41" t="inlineStr">
        <is>
          <t>EMP013</t>
        </is>
      </c>
      <c r="B15" s="25" t="inlineStr">
        <is>
          <t>Pooja Ruchandani</t>
        </is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44">
        <f>IFERROR(AVERAGEIF(C15:O15,"&gt;0"),0)</f>
        <v/>
      </c>
    </row>
    <row r="16">
      <c r="A16" s="41" t="inlineStr">
        <is>
          <t>EMP014</t>
        </is>
      </c>
      <c r="B16" s="42" t="inlineStr">
        <is>
          <t>Abha Tiwari</t>
        </is>
      </c>
      <c r="C16" s="25" t="n">
        <v>0</v>
      </c>
      <c r="D16" s="25" t="n">
        <v>0</v>
      </c>
      <c r="E16" s="25" t="n">
        <v>2</v>
      </c>
      <c r="F16" s="25" t="n">
        <v>2</v>
      </c>
      <c r="G16" s="25" t="n">
        <v>1</v>
      </c>
      <c r="H16" s="25" t="n">
        <v>1</v>
      </c>
      <c r="I16" s="25" t="n">
        <v>1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44">
        <f>IFERROR(AVERAGEIF(C16:O16,"&gt;0"),0)</f>
        <v/>
      </c>
    </row>
    <row r="17" ht="14.25" customHeight="1" s="60">
      <c r="A17" s="41" t="inlineStr">
        <is>
          <t>EMP015</t>
        </is>
      </c>
      <c r="B17" s="25" t="inlineStr">
        <is>
          <t>Dev Narayan</t>
        </is>
      </c>
      <c r="C17" s="25" t="n">
        <v>0</v>
      </c>
      <c r="D17" s="25" t="n">
        <v>0</v>
      </c>
      <c r="E17" s="25" t="n">
        <v>2</v>
      </c>
      <c r="F17" s="25" t="n">
        <v>2</v>
      </c>
      <c r="G17" s="25" t="n">
        <v>1</v>
      </c>
      <c r="H17" s="25" t="n">
        <v>1</v>
      </c>
      <c r="I17" s="25" t="n">
        <v>1</v>
      </c>
      <c r="J17" s="25" t="n">
        <v>0</v>
      </c>
      <c r="K17" s="25" t="n">
        <v>0</v>
      </c>
      <c r="L17" s="25" t="n">
        <v>0</v>
      </c>
      <c r="M17" s="25" t="n">
        <v>1</v>
      </c>
      <c r="N17" s="25" t="n">
        <v>0</v>
      </c>
      <c r="O17" s="25" t="n">
        <v>1</v>
      </c>
      <c r="P17" s="44">
        <f>IFERROR(AVERAGEIF(C17:O17,"&gt;0"),0)</f>
        <v/>
      </c>
    </row>
    <row r="18" ht="14.25" customHeight="1" s="60">
      <c r="A18" s="41" t="inlineStr">
        <is>
          <t>EMP016</t>
        </is>
      </c>
      <c r="B18" s="25" t="inlineStr">
        <is>
          <t>Yogesh Sahu</t>
        </is>
      </c>
      <c r="C18" s="25" t="n">
        <v>2</v>
      </c>
      <c r="D18" s="25" t="n">
        <v>1</v>
      </c>
      <c r="E18" s="25" t="n">
        <v>0</v>
      </c>
      <c r="F18" s="25" t="n">
        <v>0</v>
      </c>
      <c r="G18" s="25" t="n">
        <v>0</v>
      </c>
      <c r="H18" s="25" t="n">
        <v>1</v>
      </c>
      <c r="I18" s="25" t="n">
        <v>1</v>
      </c>
      <c r="J18" s="25" t="n">
        <v>1</v>
      </c>
      <c r="K18" s="25" t="n">
        <v>1</v>
      </c>
      <c r="L18" s="25" t="n">
        <v>0</v>
      </c>
      <c r="M18" s="25" t="n">
        <v>0</v>
      </c>
      <c r="N18" s="25" t="n">
        <v>0</v>
      </c>
      <c r="O18" s="25" t="n">
        <v>0</v>
      </c>
      <c r="P18" s="44">
        <f>IFERROR(AVERAGEIF(C18:O18,"&gt;0"),0)</f>
        <v/>
      </c>
    </row>
    <row r="19" ht="14.25" customHeight="1" s="60">
      <c r="A19" s="41" t="inlineStr">
        <is>
          <t>EMP017</t>
        </is>
      </c>
      <c r="B19" s="25" t="inlineStr">
        <is>
          <t>Katyayani Sahu</t>
        </is>
      </c>
      <c r="C19" s="25" t="n">
        <v>0</v>
      </c>
      <c r="D19" s="25" t="n">
        <v>0</v>
      </c>
      <c r="E19" s="25" t="n">
        <v>0</v>
      </c>
      <c r="F19" s="25" t="n">
        <v>1</v>
      </c>
      <c r="G19" s="25" t="n">
        <v>0</v>
      </c>
      <c r="H19" s="25" t="n">
        <v>1</v>
      </c>
      <c r="I19" s="25" t="n">
        <v>1</v>
      </c>
      <c r="J19" s="25" t="n">
        <v>0</v>
      </c>
      <c r="K19" s="25" t="n">
        <v>0</v>
      </c>
      <c r="L19" s="25" t="n">
        <v>0</v>
      </c>
      <c r="M19" s="25" t="n">
        <v>0</v>
      </c>
      <c r="N19" s="25" t="n">
        <v>0</v>
      </c>
      <c r="O19" s="25" t="n">
        <v>1</v>
      </c>
      <c r="P19" s="44">
        <f>IFERROR(AVERAGEIF(C19:O19,"&gt;0"),0)</f>
        <v/>
      </c>
    </row>
    <row r="20" ht="14.25" customHeight="1" s="60">
      <c r="A20" s="41" t="inlineStr">
        <is>
          <t>EMP018</t>
        </is>
      </c>
      <c r="B20" s="25" t="inlineStr">
        <is>
          <t>Rajkumari Kashyap</t>
        </is>
      </c>
      <c r="C20" s="25" t="n">
        <v>0</v>
      </c>
      <c r="D20" s="25" t="n">
        <v>0</v>
      </c>
      <c r="E20" s="25" t="n">
        <v>0</v>
      </c>
      <c r="F20" s="25" t="n">
        <v>1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2</v>
      </c>
      <c r="N20" s="25" t="n">
        <v>1</v>
      </c>
      <c r="O20" s="25" t="n">
        <v>1</v>
      </c>
      <c r="P20" s="44">
        <f>IFERROR(AVERAGEIF(C20:O20,"&gt;0"),0)</f>
        <v/>
      </c>
    </row>
    <row r="21" ht="14.25" customHeight="1" s="60">
      <c r="A21" s="41" t="inlineStr">
        <is>
          <t>EMP019</t>
        </is>
      </c>
      <c r="B21" s="25" t="inlineStr">
        <is>
          <t>Radhika Boldiya</t>
        </is>
      </c>
      <c r="C21" s="25" t="n">
        <v>0</v>
      </c>
      <c r="D21" s="25" t="n">
        <v>0</v>
      </c>
      <c r="E21" s="25" t="n">
        <v>0</v>
      </c>
      <c r="F21" s="25" t="n">
        <v>1</v>
      </c>
      <c r="G21" s="25" t="n">
        <v>0</v>
      </c>
      <c r="H21" s="25" t="n">
        <v>0</v>
      </c>
      <c r="I21" s="25" t="n">
        <v>0</v>
      </c>
      <c r="J21" s="25" t="n">
        <v>2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44">
        <f>IFERROR(AVERAGEIF(C21:O21,"&gt;0"),0)</f>
        <v/>
      </c>
    </row>
    <row r="22" ht="14.25" customHeight="1" s="60">
      <c r="A22" s="41" t="inlineStr">
        <is>
          <t>EMP020</t>
        </is>
      </c>
      <c r="B22" s="25" t="inlineStr">
        <is>
          <t>Juhi Gupta</t>
        </is>
      </c>
      <c r="C22" s="25" t="n">
        <v>0</v>
      </c>
      <c r="D22" s="25" t="n">
        <v>0</v>
      </c>
      <c r="E22" s="25" t="n">
        <v>0</v>
      </c>
      <c r="F22" s="25" t="n">
        <v>1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44">
        <f>IFERROR(AVERAGEIF(C22:O22,"&gt;0"),0)</f>
        <v/>
      </c>
    </row>
    <row r="23" ht="14.25" customHeight="1" s="60">
      <c r="A23" s="41" t="inlineStr">
        <is>
          <t>EMP021</t>
        </is>
      </c>
      <c r="B23" s="25" t="inlineStr">
        <is>
          <t>Sana Fatima</t>
        </is>
      </c>
      <c r="C23" s="25" t="n">
        <v>0</v>
      </c>
      <c r="D23" s="25" t="n">
        <v>0</v>
      </c>
      <c r="E23" s="25" t="n">
        <v>0</v>
      </c>
      <c r="F23" s="25" t="n">
        <v>1</v>
      </c>
      <c r="G23" s="25" t="n">
        <v>0</v>
      </c>
      <c r="H23" s="25" t="n">
        <v>0</v>
      </c>
      <c r="I23" s="25" t="n">
        <v>0</v>
      </c>
      <c r="J23" s="25" t="n">
        <v>0</v>
      </c>
      <c r="K23" s="25" t="n">
        <v>0</v>
      </c>
      <c r="L23" s="25" t="n">
        <v>0</v>
      </c>
      <c r="M23" s="25" t="n">
        <v>0</v>
      </c>
      <c r="N23" s="25" t="n">
        <v>0</v>
      </c>
      <c r="O23" s="25" t="n">
        <v>0</v>
      </c>
      <c r="P23" s="44">
        <f>IFERROR(AVERAGEIF(C23:O23,"&gt;0"),0)</f>
        <v/>
      </c>
    </row>
    <row r="24" ht="14.25" customHeight="1" s="60">
      <c r="A24" s="41" t="inlineStr">
        <is>
          <t>EMP022</t>
        </is>
      </c>
      <c r="B24" s="25" t="inlineStr">
        <is>
          <t>Harsh Barmeda</t>
        </is>
      </c>
      <c r="C24" s="25" t="n">
        <v>0</v>
      </c>
      <c r="D24" s="25" t="n">
        <v>0</v>
      </c>
      <c r="E24" s="25" t="n">
        <v>0</v>
      </c>
      <c r="F24" s="25" t="n">
        <v>1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44">
        <f>IFERROR(AVERAGEIF(C24:O24,"&gt;0"),0)</f>
        <v/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59E0B"/>
    <outlinePr summaryBelow="1" summaryRight="1"/>
    <pageSetUpPr/>
  </sheetPr>
  <dimension ref="A1:L7"/>
  <sheetViews>
    <sheetView showGridLines="0" tabSelected="1" workbookViewId="0">
      <pane ySplit="2" topLeftCell="A3" activePane="bottomLeft" state="frozen"/>
      <selection pane="bottomLeft" activeCell="K6" sqref="K6"/>
    </sheetView>
  </sheetViews>
  <sheetFormatPr baseColWidth="8" defaultRowHeight="15"/>
  <cols>
    <col width="10" customWidth="1" style="60" min="1" max="1"/>
    <col width="20" customWidth="1" style="60" min="2" max="2"/>
    <col width="28" customWidth="1" style="60" min="3" max="3"/>
    <col width="16" customWidth="1" style="60" min="4" max="4"/>
    <col width="12" customWidth="1" style="60" min="5" max="8"/>
    <col width="14" customWidth="1" style="60" min="9" max="9"/>
    <col width="10" customWidth="1" style="60" min="10" max="11"/>
    <col width="12" customWidth="1" style="60" min="12" max="12"/>
  </cols>
  <sheetData>
    <row r="1" ht="27.95" customHeight="1" s="60">
      <c r="A1" s="45" t="inlineStr">
        <is>
          <t>TRAINING TRACKER — Program Progress &amp; Completion</t>
        </is>
      </c>
    </row>
    <row r="2" ht="21.95" customHeight="1" s="60">
      <c r="A2" s="10" t="inlineStr">
        <is>
          <t>Emp ID</t>
        </is>
      </c>
      <c r="B2" s="10" t="inlineStr">
        <is>
          <t>Name</t>
        </is>
      </c>
      <c r="C2" s="10" t="inlineStr">
        <is>
          <t>Training Program</t>
        </is>
      </c>
      <c r="D2" s="10" t="inlineStr">
        <is>
          <t>Category</t>
        </is>
      </c>
      <c r="E2" s="10" t="inlineStr">
        <is>
          <t>Mode</t>
        </is>
      </c>
      <c r="F2" s="10" t="inlineStr">
        <is>
          <t>Start Date</t>
        </is>
      </c>
      <c r="G2" s="10" t="inlineStr">
        <is>
          <t>End Date</t>
        </is>
      </c>
      <c r="H2" s="10" t="inlineStr">
        <is>
          <t>Duration (Days)</t>
        </is>
      </c>
      <c r="I2" s="10" t="inlineStr">
        <is>
          <t>Status</t>
        </is>
      </c>
      <c r="J2" s="10" t="inlineStr">
        <is>
          <t>Pre-Score</t>
        </is>
      </c>
      <c r="K2" s="10" t="inlineStr">
        <is>
          <t>Post-Score</t>
        </is>
      </c>
      <c r="L2" s="10" t="inlineStr">
        <is>
          <t>Improvement %</t>
        </is>
      </c>
    </row>
    <row r="3" ht="20.1" customHeight="1" s="60">
      <c r="A3" s="26" t="inlineStr">
        <is>
          <t>EMP018</t>
        </is>
      </c>
      <c r="B3" s="25" t="inlineStr">
        <is>
          <t>Rajkumari Kashyap</t>
        </is>
      </c>
      <c r="C3" s="2" t="inlineStr">
        <is>
          <t>Microsfoft fabric</t>
        </is>
      </c>
      <c r="D3" s="2" t="inlineStr">
        <is>
          <t>Data</t>
        </is>
      </c>
      <c r="E3" s="2" t="inlineStr">
        <is>
          <t>Online / Self-paced</t>
        </is>
      </c>
      <c r="F3" s="3" t="n">
        <v>46097</v>
      </c>
      <c r="G3" s="3" t="n">
        <v>46250</v>
      </c>
      <c r="H3" s="2">
        <f>IFERROR(G3-F3,"")</f>
        <v/>
      </c>
      <c r="I3" s="2" t="inlineStr">
        <is>
          <t>In Progress</t>
        </is>
      </c>
      <c r="J3" s="2" t="n">
        <v>25</v>
      </c>
      <c r="K3" s="2" t="n">
        <v>50</v>
      </c>
      <c r="L3" s="11">
        <f>IFERROR((K3-J3)/J3,"")</f>
        <v/>
      </c>
    </row>
    <row r="4" ht="20.1" customHeight="1" s="60">
      <c r="A4" s="26" t="inlineStr">
        <is>
          <t>EMP019</t>
        </is>
      </c>
      <c r="B4" s="25" t="inlineStr">
        <is>
          <t>Radhika Boldiya</t>
        </is>
      </c>
      <c r="C4" s="5" t="inlineStr">
        <is>
          <t xml:space="preserve">Devops </t>
        </is>
      </c>
      <c r="D4" s="5" t="inlineStr">
        <is>
          <t>Cloud</t>
        </is>
      </c>
      <c r="E4" s="5" t="inlineStr">
        <is>
          <t>Online / Self-paced</t>
        </is>
      </c>
      <c r="F4" s="6" t="n">
        <v>46155</v>
      </c>
      <c r="G4" s="6" t="n">
        <v>46247</v>
      </c>
      <c r="H4" s="5">
        <f>IFERROR(G4-F4,"")</f>
        <v/>
      </c>
      <c r="I4" s="5" t="inlineStr">
        <is>
          <t>In Progress</t>
        </is>
      </c>
      <c r="J4" s="5" t="n">
        <v>40</v>
      </c>
      <c r="K4" s="5" t="n">
        <v>50</v>
      </c>
      <c r="L4" s="12">
        <f>IFERROR((K4-J4)/J4,"")</f>
        <v/>
      </c>
    </row>
    <row r="5" ht="20.1" customHeight="1" s="60">
      <c r="A5" s="26" t="inlineStr">
        <is>
          <t>EMP020</t>
        </is>
      </c>
      <c r="B5" s="25" t="inlineStr">
        <is>
          <t>Juhi Gupta</t>
        </is>
      </c>
      <c r="C5" s="2" t="inlineStr">
        <is>
          <t>Cyber Security</t>
        </is>
      </c>
      <c r="D5" s="2" t="inlineStr">
        <is>
          <t>Security</t>
        </is>
      </c>
      <c r="E5" s="2" t="inlineStr">
        <is>
          <t>Online / Self-paced</t>
        </is>
      </c>
      <c r="F5" s="3" t="n">
        <v>46174</v>
      </c>
      <c r="G5" s="3" t="n">
        <v>46218</v>
      </c>
      <c r="H5" s="2">
        <f>IFERROR(G5-F5,"")</f>
        <v/>
      </c>
      <c r="I5" s="2" t="inlineStr">
        <is>
          <t>In Progress</t>
        </is>
      </c>
      <c r="J5" s="2" t="n">
        <v>10</v>
      </c>
      <c r="K5" s="2" t="n">
        <v>11</v>
      </c>
      <c r="L5" s="11">
        <f>IFERROR((K5-J5)/J5,"")</f>
        <v/>
      </c>
    </row>
    <row r="6" ht="20.1" customHeight="1" s="60">
      <c r="A6" s="26" t="inlineStr">
        <is>
          <t>EMP021</t>
        </is>
      </c>
      <c r="B6" s="25" t="inlineStr">
        <is>
          <t>Sana Fatima</t>
        </is>
      </c>
      <c r="C6" s="5" t="inlineStr">
        <is>
          <t>AI Agents</t>
        </is>
      </c>
      <c r="D6" s="5" t="inlineStr">
        <is>
          <t>AI</t>
        </is>
      </c>
      <c r="E6" s="5" t="inlineStr">
        <is>
          <t>Online / Self-paced</t>
        </is>
      </c>
      <c r="F6" s="6" t="n">
        <v>46195</v>
      </c>
      <c r="G6" s="6" t="n">
        <v>46287</v>
      </c>
      <c r="H6" s="5">
        <f>IFERROR(G6-F6,"")</f>
        <v/>
      </c>
      <c r="I6" s="5" t="inlineStr">
        <is>
          <t>In Progress</t>
        </is>
      </c>
      <c r="J6" s="5" t="n">
        <v>30</v>
      </c>
      <c r="K6" s="5" t="n">
        <v>32</v>
      </c>
      <c r="L6" s="12">
        <f>IFERROR((K6-J6)/J6,"")</f>
        <v/>
      </c>
    </row>
    <row r="7" ht="20.1" customHeight="1" s="60">
      <c r="A7" s="26" t="inlineStr">
        <is>
          <t>EMP022</t>
        </is>
      </c>
      <c r="B7" s="37" t="inlineStr">
        <is>
          <t>Harsh Barmeda</t>
        </is>
      </c>
      <c r="C7" s="2" t="inlineStr">
        <is>
          <t>AI Agents</t>
        </is>
      </c>
      <c r="D7" s="2" t="inlineStr">
        <is>
          <t>AI</t>
        </is>
      </c>
      <c r="E7" s="2" t="inlineStr">
        <is>
          <t>Online / Self-paced</t>
        </is>
      </c>
      <c r="F7" s="3" t="n">
        <v>46195</v>
      </c>
      <c r="G7" s="3" t="n">
        <v>46287</v>
      </c>
      <c r="H7" s="2">
        <f>IFERROR(G7-F7,"")</f>
        <v/>
      </c>
      <c r="I7" s="2" t="inlineStr">
        <is>
          <t>In Progress</t>
        </is>
      </c>
      <c r="J7" s="2" t="n">
        <v>40</v>
      </c>
      <c r="K7" s="2" t="n">
        <v>45</v>
      </c>
      <c r="L7" s="11">
        <f>IFERROR((K7-J7)/J7,"")</f>
        <v/>
      </c>
    </row>
  </sheetData>
  <autoFilter ref="A1:L7"/>
  <mergeCells count="1">
    <mergeCell ref="A1:L1"/>
  </mergeCells>
  <conditionalFormatting sqref="I3:I50">
    <cfRule type="cellIs" priority="1" operator="equal" dxfId="3">
      <formula>"Completed"</formula>
    </cfRule>
    <cfRule type="cellIs" priority="2" operator="equal" dxfId="0">
      <formula>"In Progress"</formula>
    </cfRule>
  </conditionalFormatting>
  <dataValidations count="1">
    <dataValidation sqref="E3:E200" showDropDown="0" showInputMessage="0" showErrorMessage="0" allowBlank="0" type="list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A32D2D"/>
    <outlinePr summaryBelow="1" summaryRight="1"/>
    <pageSetUpPr/>
  </sheetPr>
  <dimension ref="A1:M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60" min="1" max="1"/>
    <col width="20" customWidth="1" style="60" min="2" max="2"/>
    <col width="22" customWidth="1" style="60" min="3" max="3"/>
    <col width="18" customWidth="1" style="60" min="4" max="4"/>
    <col width="12" customWidth="1" style="60" min="5" max="6"/>
    <col width="10" customWidth="1" style="60" min="7" max="7"/>
    <col width="12" customWidth="1" style="60" min="8" max="8"/>
    <col width="20" customWidth="1" style="60" min="9" max="9"/>
    <col width="12" customWidth="1" style="60" min="10" max="10"/>
    <col width="11" customWidth="1" style="60" min="11" max="11"/>
    <col width="20" customWidth="1" style="60" min="12" max="12"/>
    <col width="22" customWidth="1" style="60" min="13" max="13"/>
  </cols>
  <sheetData>
    <row r="1" ht="27.95" customHeight="1" s="60">
      <c r="A1" s="45" t="inlineStr">
        <is>
          <t>DEMAND PIPELINE — Open Roles &amp; Resource Mapping</t>
        </is>
      </c>
    </row>
    <row r="2" ht="21.95" customHeight="1" s="60">
      <c r="A2" s="49" t="inlineStr">
        <is>
          <t>Demand ID</t>
        </is>
      </c>
      <c r="B2" s="49" t="inlineStr">
        <is>
          <t>Account / Project</t>
        </is>
      </c>
      <c r="C2" s="49" t="inlineStr">
        <is>
          <t>Role Required</t>
        </is>
      </c>
      <c r="D2" s="49" t="inlineStr">
        <is>
          <t>Primary Skill Needed</t>
        </is>
      </c>
      <c r="E2" s="49" t="inlineStr">
        <is>
          <t>Band / Experience</t>
        </is>
      </c>
      <c r="F2" s="49" t="inlineStr">
        <is>
          <t>Start Date</t>
        </is>
      </c>
      <c r="G2" s="49" t="inlineStr">
        <is>
          <t>Priority</t>
        </is>
      </c>
      <c r="H2" s="49" t="inlineStr">
        <is>
          <t>Status</t>
        </is>
      </c>
      <c r="I2" s="49" t="inlineStr">
        <is>
          <t>Mapped Resource</t>
        </is>
      </c>
      <c r="J2" s="49" t="inlineStr">
        <is>
          <t>Mapping Date</t>
        </is>
      </c>
      <c r="K2" s="49" t="inlineStr">
        <is>
          <t>Match Score %</t>
        </is>
      </c>
      <c r="L2" s="49" t="inlineStr">
        <is>
          <t>Gap Skills</t>
        </is>
      </c>
      <c r="M2" s="49" t="inlineStr">
        <is>
          <t>Remarks</t>
        </is>
      </c>
    </row>
    <row r="3" ht="20.1" customHeight="1" s="60">
      <c r="A3" s="2" t="inlineStr">
        <is>
          <t>DEM001</t>
        </is>
      </c>
      <c r="B3" s="2" t="inlineStr">
        <is>
          <t>Project Orion</t>
        </is>
      </c>
      <c r="C3" s="2" t="inlineStr">
        <is>
          <t>Senior React Developer</t>
        </is>
      </c>
      <c r="D3" s="2" t="inlineStr">
        <is>
          <t>React.js</t>
        </is>
      </c>
      <c r="E3" s="2" t="inlineStr">
        <is>
          <t>4-6 Yrs</t>
        </is>
      </c>
      <c r="F3" s="3" t="n">
        <v>46202</v>
      </c>
      <c r="G3" s="2" t="inlineStr">
        <is>
          <t>High</t>
        </is>
      </c>
      <c r="H3" s="2" t="inlineStr">
        <is>
          <t>Open</t>
        </is>
      </c>
      <c r="I3" s="2" t="inlineStr">
        <is>
          <t>EMP001 - Ananya Rao</t>
        </is>
      </c>
      <c r="J3" s="3" t="n">
        <v>46195</v>
      </c>
      <c r="K3" s="2" t="n">
        <v>90</v>
      </c>
      <c r="L3" s="2" t="n"/>
      <c r="M3" s="2" t="inlineStr">
        <is>
          <t>Strong match</t>
        </is>
      </c>
    </row>
    <row r="4" ht="20.1" customHeight="1" s="60">
      <c r="A4" s="5" t="inlineStr">
        <is>
          <t>DEM002</t>
        </is>
      </c>
      <c r="B4" s="5" t="inlineStr">
        <is>
          <t>Account Beta</t>
        </is>
      </c>
      <c r="C4" s="5" t="inlineStr">
        <is>
          <t>Cloud Engineer - AWS</t>
        </is>
      </c>
      <c r="D4" s="5" t="inlineStr">
        <is>
          <t>AWS</t>
        </is>
      </c>
      <c r="E4" s="5" t="inlineStr">
        <is>
          <t>3-5 Yrs</t>
        </is>
      </c>
      <c r="F4" s="6" t="n">
        <v>46200</v>
      </c>
      <c r="G4" s="5" t="inlineStr">
        <is>
          <t>Critical</t>
        </is>
      </c>
      <c r="H4" s="5" t="inlineStr">
        <is>
          <t>Open</t>
        </is>
      </c>
      <c r="I4" s="5" t="inlineStr">
        <is>
          <t>EMP002 - Karan Patel</t>
        </is>
      </c>
      <c r="J4" s="6" t="n">
        <v>46198</v>
      </c>
      <c r="K4" s="5" t="n">
        <v>75</v>
      </c>
      <c r="L4" s="5" t="inlineStr">
        <is>
          <t>Terraform</t>
        </is>
      </c>
      <c r="M4" s="5" t="inlineStr">
        <is>
          <t>Available after training</t>
        </is>
      </c>
    </row>
    <row r="5" ht="20.1" customHeight="1" s="60">
      <c r="A5" s="2" t="inlineStr">
        <is>
          <t>DEM003</t>
        </is>
      </c>
      <c r="B5" s="2" t="inlineStr">
        <is>
          <t>Project Delta</t>
        </is>
      </c>
      <c r="C5" s="2" t="inlineStr">
        <is>
          <t>Azure Architect</t>
        </is>
      </c>
      <c r="D5" s="2" t="inlineStr">
        <is>
          <t>Azure</t>
        </is>
      </c>
      <c r="E5" s="2" t="inlineStr">
        <is>
          <t>3-5 Yrs</t>
        </is>
      </c>
      <c r="F5" s="3" t="n">
        <v>46197</v>
      </c>
      <c r="G5" s="2" t="inlineStr">
        <is>
          <t>Critical</t>
        </is>
      </c>
      <c r="H5" s="2" t="inlineStr">
        <is>
          <t>Open</t>
        </is>
      </c>
      <c r="I5" s="2" t="inlineStr">
        <is>
          <t>EMP007 - Priya Shah</t>
        </is>
      </c>
      <c r="J5" s="3" t="n">
        <v>46196</v>
      </c>
      <c r="K5" s="2" t="n">
        <v>78</v>
      </c>
      <c r="L5" s="2" t="inlineStr">
        <is>
          <t>Landing Zone</t>
        </is>
      </c>
      <c r="M5" s="2" t="inlineStr">
        <is>
          <t>Completing training</t>
        </is>
      </c>
    </row>
    <row r="6" ht="20.1" customHeight="1" s="60">
      <c r="A6" s="5" t="inlineStr">
        <is>
          <t>DEM004</t>
        </is>
      </c>
      <c r="B6" s="5" t="inlineStr">
        <is>
          <t>Account Gamma</t>
        </is>
      </c>
      <c r="C6" s="5" t="inlineStr">
        <is>
          <t>Data Engineer</t>
        </is>
      </c>
      <c r="D6" s="5" t="inlineStr">
        <is>
          <t>Python, SQL</t>
        </is>
      </c>
      <c r="E6" s="5" t="inlineStr">
        <is>
          <t>4-6 Yrs</t>
        </is>
      </c>
      <c r="F6" s="6" t="n">
        <v>46205</v>
      </c>
      <c r="G6" s="5" t="inlineStr">
        <is>
          <t>High</t>
        </is>
      </c>
      <c r="H6" s="5" t="inlineStr">
        <is>
          <t>Open</t>
        </is>
      </c>
      <c r="I6" s="5" t="inlineStr">
        <is>
          <t>EMP003 - Sneha Rao</t>
        </is>
      </c>
      <c r="J6" s="6" t="n">
        <v>46195</v>
      </c>
      <c r="K6" s="5" t="n">
        <v>92</v>
      </c>
      <c r="L6" s="5" t="inlineStr">
        <is>
          <t>Databricks</t>
        </is>
      </c>
      <c r="M6" s="5" t="inlineStr">
        <is>
          <t>Near-perfect match</t>
        </is>
      </c>
    </row>
    <row r="7" ht="20.1" customHeight="1" s="60">
      <c r="A7" s="2" t="inlineStr">
        <is>
          <t>DEM005</t>
        </is>
      </c>
      <c r="B7" s="2" t="inlineStr">
        <is>
          <t>Project Sigma</t>
        </is>
      </c>
      <c r="C7" s="2" t="inlineStr">
        <is>
          <t>DevOps Lead</t>
        </is>
      </c>
      <c r="D7" s="2" t="inlineStr">
        <is>
          <t>Kubernetes, CI-CD</t>
        </is>
      </c>
      <c r="E7" s="2" t="inlineStr">
        <is>
          <t>4-6 Yrs</t>
        </is>
      </c>
      <c r="F7" s="3" t="n">
        <v>46205</v>
      </c>
      <c r="G7" s="2" t="inlineStr">
        <is>
          <t>High</t>
        </is>
      </c>
      <c r="H7" s="2" t="inlineStr">
        <is>
          <t>Open</t>
        </is>
      </c>
      <c r="I7" s="2" t="inlineStr">
        <is>
          <t>EMP006 - Rahul Singh</t>
        </is>
      </c>
      <c r="J7" s="3" t="n">
        <v>46195</v>
      </c>
      <c r="K7" s="2" t="n">
        <v>88</v>
      </c>
      <c r="L7" s="2" t="n"/>
      <c r="M7" s="2" t="inlineStr">
        <is>
          <t>Ready now</t>
        </is>
      </c>
    </row>
    <row r="8" ht="20.1" customHeight="1" s="60">
      <c r="A8" s="5" t="inlineStr">
        <is>
          <t>DEM006</t>
        </is>
      </c>
      <c r="B8" s="5" t="inlineStr">
        <is>
          <t>Account Zeta</t>
        </is>
      </c>
      <c r="C8" s="5" t="inlineStr">
        <is>
          <t>Java Full Stack</t>
        </is>
      </c>
      <c r="D8" s="5" t="inlineStr">
        <is>
          <t>Java, Angular</t>
        </is>
      </c>
      <c r="E8" s="5" t="inlineStr">
        <is>
          <t>5+ Yrs</t>
        </is>
      </c>
      <c r="F8" s="6" t="n">
        <v>46209</v>
      </c>
      <c r="G8" s="5" t="inlineStr">
        <is>
          <t>Medium</t>
        </is>
      </c>
      <c r="H8" s="5" t="inlineStr">
        <is>
          <t>Open</t>
        </is>
      </c>
      <c r="I8" s="5" t="n"/>
      <c r="J8" s="5" t="n"/>
      <c r="K8" s="5" t="n"/>
      <c r="L8" s="5" t="inlineStr">
        <is>
          <t>GenAI</t>
        </is>
      </c>
      <c r="M8" s="5" t="inlineStr">
        <is>
          <t>No match — new hire needed</t>
        </is>
      </c>
    </row>
    <row r="9" ht="20.1" customHeight="1" s="60">
      <c r="A9" s="2" t="inlineStr">
        <is>
          <t>DEM007</t>
        </is>
      </c>
      <c r="B9" s="2" t="inlineStr">
        <is>
          <t>Project Apex</t>
        </is>
      </c>
      <c r="C9" s="2" t="inlineStr">
        <is>
          <t>GenAI / LLM Engineer</t>
        </is>
      </c>
      <c r="D9" s="2" t="inlineStr">
        <is>
          <t>Python, LangChain</t>
        </is>
      </c>
      <c r="E9" s="2" t="inlineStr">
        <is>
          <t>3+ Yrs</t>
        </is>
      </c>
      <c r="F9" s="3" t="n">
        <v>46216</v>
      </c>
      <c r="G9" s="2" t="inlineStr">
        <is>
          <t>Critical</t>
        </is>
      </c>
      <c r="H9" s="2" t="inlineStr">
        <is>
          <t>Open</t>
        </is>
      </c>
      <c r="I9" s="2" t="n"/>
      <c r="J9" s="2" t="n"/>
      <c r="K9" s="2" t="n"/>
      <c r="L9" s="2" t="inlineStr">
        <is>
          <t>All LLM skills</t>
        </is>
      </c>
      <c r="M9" s="2" t="inlineStr">
        <is>
          <t>Critical gap — no bench match</t>
        </is>
      </c>
    </row>
  </sheetData>
  <autoFilter ref="A1:M9"/>
  <mergeCells count="1">
    <mergeCell ref="A1:M1"/>
  </mergeCells>
  <conditionalFormatting sqref="G3:G50">
    <cfRule type="cellIs" priority="1" operator="equal" dxfId="1">
      <formula>"Critical"</formula>
    </cfRule>
    <cfRule type="cellIs" priority="2" operator="equal" dxfId="0">
      <formula>"High"</formula>
    </cfRule>
  </conditionalFormatting>
  <conditionalFormatting sqref="K3:K50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534AB7"/>
    <outlinePr summaryBelow="1" summaryRight="1"/>
    <pageSetUpPr/>
  </sheetPr>
  <dimension ref="A1:J26"/>
  <sheetViews>
    <sheetView showGridLines="0" workbookViewId="0">
      <selection activeCell="K5" sqref="K5"/>
    </sheetView>
  </sheetViews>
  <sheetFormatPr baseColWidth="8" defaultRowHeight="15"/>
  <cols>
    <col width="14" customWidth="1" style="60" min="1" max="10"/>
  </cols>
  <sheetData>
    <row r="1" ht="36" customHeight="1" s="60">
      <c r="A1" s="56" t="inlineStr">
        <is>
          <t>BENCH MANAGEMENT DASHBOARD — Weekly Summary</t>
        </is>
      </c>
    </row>
    <row r="3" ht="21.95" customHeight="1" s="60">
      <c r="A3" s="57" t="inlineStr">
        <is>
          <t>Total on Bench</t>
        </is>
      </c>
      <c r="B3" s="61" t="n"/>
      <c r="C3" s="51" t="inlineStr">
        <is>
          <t>Available Now</t>
        </is>
      </c>
      <c r="D3" s="61" t="n"/>
      <c r="E3" s="48" t="inlineStr">
        <is>
          <t>In Training</t>
        </is>
      </c>
      <c r="F3" s="61" t="n"/>
      <c r="G3" s="49" t="inlineStr">
        <is>
          <t>Avg Bench Days</t>
        </is>
      </c>
      <c r="H3" s="61" t="n"/>
      <c r="I3" s="50" t="inlineStr">
        <is>
          <t>Open Demands</t>
        </is>
      </c>
      <c r="J3" s="61" t="n"/>
    </row>
    <row r="4" ht="21.95" customHeight="1" s="60">
      <c r="A4" s="53">
        <f>COUNTA('Bench Master'!B3:B200)</f>
        <v/>
      </c>
      <c r="B4" s="61" t="n"/>
      <c r="C4" s="53">
        <f>COUNTIF('Bench Master'!L3:L200,"Available")+COUNTIF('Bench Master'!L3:L200,"Partial Available")</f>
        <v/>
      </c>
      <c r="D4" s="61" t="n"/>
      <c r="E4" s="53">
        <f>COUNTIF('Bench Master'!L3:L200,"In Training")</f>
        <v/>
      </c>
      <c r="F4" s="61" t="n"/>
      <c r="G4" s="70">
        <f>IFERROR(AVERAGEIF('Bench Master'!K3:K200,"&gt;0"),0)</f>
        <v/>
      </c>
      <c r="H4" s="61" t="n"/>
      <c r="I4" s="53">
        <f>COUNTIF('Demand Pipeline'!H3:H100,"Open")</f>
        <v/>
      </c>
      <c r="J4" s="61" t="n"/>
    </row>
    <row r="5" ht="21.95" customHeight="1" s="60">
      <c r="A5" s="52" t="inlineStr">
        <is>
          <t>All statuses</t>
        </is>
      </c>
      <c r="B5" s="61" t="n"/>
      <c r="C5" s="52" t="inlineStr">
        <is>
          <t>Ready to allocate</t>
        </is>
      </c>
      <c r="D5" s="61" t="n"/>
      <c r="E5" s="52" t="inlineStr">
        <is>
          <t>Active programs</t>
        </is>
      </c>
      <c r="F5" s="61" t="n"/>
      <c r="G5" s="52" t="inlineStr">
        <is>
          <t>Target ≤ 10 days</t>
        </is>
      </c>
      <c r="H5" s="61" t="n"/>
      <c r="I5" s="52" t="inlineStr">
        <is>
          <t>Unallocated roles</t>
        </is>
      </c>
      <c r="J5" s="61" t="n"/>
    </row>
    <row r="6" ht="21.95" customHeight="1" s="60"/>
    <row r="7" ht="21.95" customHeight="1" s="60"/>
    <row r="8" ht="21.95" customHeight="1" s="60">
      <c r="A8" s="49" t="inlineStr">
        <is>
          <t>Critical Demands</t>
        </is>
      </c>
      <c r="B8" s="61" t="n"/>
      <c r="C8" s="51" t="inlineStr">
        <is>
          <t>Mapped This Week</t>
        </is>
      </c>
      <c r="D8" s="61" t="n"/>
      <c r="E8" s="50" t="inlineStr">
        <is>
          <t>Avg Match Score</t>
        </is>
      </c>
      <c r="F8" s="61" t="n"/>
      <c r="G8" s="48" t="inlineStr">
        <is>
          <t>Bench &gt;15 Days</t>
        </is>
      </c>
      <c r="H8" s="61" t="n"/>
      <c r="I8" s="51" t="inlineStr">
        <is>
          <t>Completing Soon</t>
        </is>
      </c>
      <c r="J8" s="61" t="n"/>
    </row>
    <row r="9" ht="21.95" customHeight="1" s="60">
      <c r="A9" s="53">
        <f>COUNTIF('Demand Pipeline'!G3:G100,"Critical")</f>
        <v/>
      </c>
      <c r="B9" s="61" t="n"/>
      <c r="C9" s="53">
        <f>COUNTIF('Demand Pipeline'!J3:J100,"&gt;="&amp;TODAY()-7)</f>
        <v/>
      </c>
      <c r="D9" s="61" t="n"/>
      <c r="E9" s="53">
        <f>IFERROR(AVERAGEIF('Demand Pipeline'!K3:K100,"&gt;0"),0)</f>
        <v/>
      </c>
      <c r="F9" s="61" t="n"/>
      <c r="G9" s="53">
        <f>COUNTIF('Bench Master'!K3:K200,"&gt;15")</f>
        <v/>
      </c>
      <c r="H9" s="61" t="n"/>
      <c r="I9" s="53">
        <f>COUNTIFS('Bench Master'!N3:N200,"&gt;="&amp;TODAY(),'Bench Master'!N3:N200,"&lt;="&amp;TODAY()+7)</f>
        <v/>
      </c>
      <c r="J9" s="61" t="n"/>
    </row>
    <row r="10" ht="21.95" customHeight="1" s="60">
      <c r="A10" s="52" t="inlineStr">
        <is>
          <t>Urgent fills needed</t>
        </is>
      </c>
      <c r="B10" s="61" t="n"/>
      <c r="C10" s="52" t="inlineStr">
        <is>
          <t>Last 7 days</t>
        </is>
      </c>
      <c r="D10" s="61" t="n"/>
      <c r="E10" s="52" t="inlineStr">
        <is>
          <t>% skill fit</t>
        </is>
      </c>
      <c r="F10" s="61" t="n"/>
      <c r="G10" s="52" t="inlineStr">
        <is>
          <t>Aging bench alert</t>
        </is>
      </c>
      <c r="H10" s="61" t="n"/>
      <c r="I10" s="52" t="inlineStr">
        <is>
          <t>Training end ≤7 days</t>
        </is>
      </c>
      <c r="J10" s="61" t="n"/>
    </row>
    <row r="11" ht="21.95" customHeight="1" s="60"/>
    <row r="12" ht="21.95" customHeight="1" s="60"/>
    <row r="14" ht="20.1" customHeight="1" s="60">
      <c r="A14" s="58" t="inlineStr">
        <is>
          <t>ℹ  Auto-updates from Bench Master, Pool Review Log &amp; Demand Pipeline. Status legend: Available (ready) · Partial Available (part-time) · On Leave (maternity/other) · In Training · Shadow Mode · Allocated.</t>
        </is>
      </c>
      <c r="B14" s="62" t="n"/>
      <c r="C14" s="62" t="n"/>
      <c r="D14" s="62" t="n"/>
      <c r="E14" s="62" t="n"/>
      <c r="F14" s="62" t="n"/>
      <c r="G14" s="62" t="n"/>
      <c r="H14" s="62" t="n"/>
      <c r="I14" s="62" t="n"/>
      <c r="J14" s="61" t="n"/>
    </row>
    <row r="16" ht="20.1" customHeight="1" s="60">
      <c r="A16" s="54" t="inlineStr">
        <is>
          <t>POOL BREAKDOWN</t>
        </is>
      </c>
      <c r="B16" s="62" t="n"/>
      <c r="C16" s="62" t="n"/>
      <c r="D16" s="62" t="n"/>
      <c r="E16" s="62" t="n"/>
      <c r="F16" s="62" t="n"/>
      <c r="G16" s="62" t="n"/>
      <c r="H16" s="62" t="n"/>
      <c r="I16" s="62" t="n"/>
      <c r="J16" s="61" t="n"/>
    </row>
    <row r="17" ht="21.95" customHeight="1" s="60">
      <c r="A17" s="48" t="inlineStr">
        <is>
          <t>Learner Pool</t>
        </is>
      </c>
      <c r="B17" s="61" t="n"/>
      <c r="C17" s="54" t="inlineStr">
        <is>
          <t>Innovation Pool</t>
        </is>
      </c>
      <c r="D17" s="61" t="n"/>
      <c r="E17" s="49" t="inlineStr">
        <is>
          <t>Reviews Due ≤7d</t>
        </is>
      </c>
      <c r="F17" s="61" t="n"/>
      <c r="G17" s="51" t="inlineStr">
        <is>
          <t>Promoted to Innov</t>
        </is>
      </c>
      <c r="H17" s="61" t="n"/>
      <c r="I17" s="55" t="inlineStr">
        <is>
          <t>Exits (Perf.)</t>
        </is>
      </c>
      <c r="J17" s="61" t="n"/>
    </row>
    <row r="18" ht="21.95" customHeight="1" s="60">
      <c r="A18" s="53">
        <f>COUNTIF('Bench Master'!M3:M200,"Learner Pool")</f>
        <v/>
      </c>
      <c r="B18" s="61" t="n"/>
      <c r="C18" s="53">
        <f>COUNTIF('Bench Master'!M3:M200,"Innovation Pool")</f>
        <v/>
      </c>
      <c r="D18" s="61" t="n"/>
      <c r="E18" s="53">
        <f>COUNTIFS('Pool Review Log'!I3:I46,"Pending",'Pool Review Log'!D3:D46,"&lt;="&amp;TODAY()+7)</f>
        <v/>
      </c>
      <c r="F18" s="61" t="n"/>
      <c r="G18" s="53">
        <f>COUNTIF('Pool Review Log'!I3:I46,"Promoted")</f>
        <v/>
      </c>
      <c r="H18" s="61" t="n"/>
      <c r="I18" s="53">
        <f>COUNTIF('Pool Review Log'!I3:I46,"Exit")</f>
        <v/>
      </c>
      <c r="J18" s="61" t="n"/>
    </row>
    <row r="19" ht="21.95" customHeight="1" s="60">
      <c r="A19" s="52" t="inlineStr">
        <is>
          <t>3-month clock</t>
        </is>
      </c>
      <c r="B19" s="61" t="n"/>
      <c r="C19" s="52" t="inlineStr">
        <is>
          <t>No duration limit</t>
        </is>
      </c>
      <c r="D19" s="61" t="n"/>
      <c r="E19" s="52" t="inlineStr">
        <is>
          <t>Act now</t>
        </is>
      </c>
      <c r="F19" s="61" t="n"/>
      <c r="G19" s="52" t="inlineStr">
        <is>
          <t>Month 2 movers</t>
        </is>
      </c>
      <c r="H19" s="61" t="n"/>
      <c r="I19" s="52" t="inlineStr">
        <is>
          <t>Performance exits</t>
        </is>
      </c>
      <c r="J19" s="61" t="n"/>
    </row>
    <row r="20" ht="20.1" customHeight="1" s="60">
      <c r="A20" s="47" t="inlineStr">
        <is>
          <t>ℹ  Learner Pool: 3-month max · Day 60 review → Promoted to Innovation Pool or Exit. Innovation Pool: No time limit, high allocation priority.</t>
        </is>
      </c>
      <c r="B20" s="62" t="n"/>
      <c r="C20" s="62" t="n"/>
      <c r="D20" s="62" t="n"/>
      <c r="E20" s="62" t="n"/>
      <c r="F20" s="62" t="n"/>
      <c r="G20" s="62" t="n"/>
      <c r="H20" s="62" t="n"/>
      <c r="I20" s="62" t="n"/>
      <c r="J20" s="61" t="n"/>
    </row>
    <row r="22" ht="20" customHeight="1" s="60">
      <c r="A22" s="91" t="inlineStr">
        <is>
          <t>AGING BENCH ALERTS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77" t="n"/>
    </row>
    <row r="23" ht="22" customHeight="1" s="60">
      <c r="A23" s="92" t="inlineStr">
        <is>
          <t>🚨 Critical (1Y+)</t>
        </is>
      </c>
      <c r="B23" s="77" t="n"/>
      <c r="C23" s="93" t="inlineStr">
        <is>
          <t>🔴 Action (6M+)</t>
        </is>
      </c>
      <c r="D23" s="77" t="n"/>
      <c r="E23" s="94" t="inlineStr">
        <is>
          <t>⚠ Watch (3M+)</t>
        </is>
      </c>
      <c r="F23" s="77" t="n"/>
      <c r="G23" s="95" t="inlineStr">
        <is>
          <t>✅ On Track</t>
        </is>
      </c>
      <c r="H23" s="77" t="n"/>
      <c r="I23" s="92" t="inlineStr">
        <is>
          <t>Longest Bench</t>
        </is>
      </c>
      <c r="J23" s="77" t="n"/>
    </row>
    <row r="24" ht="22" customHeight="1" s="60">
      <c r="A24" s="96">
        <f>COUNTIF('Bench Master'!Q3:Q100,"🚨 Critical (1Y+)")</f>
        <v/>
      </c>
      <c r="B24" s="77" t="n"/>
      <c r="C24" s="96">
        <f>COUNTIF('Bench Master'!Q3:Q100,"🔴 Action Needed (6M+)")</f>
        <v/>
      </c>
      <c r="D24" s="77" t="n"/>
      <c r="E24" s="96">
        <f>COUNTIF('Bench Master'!Q3:Q100,"⚠ Watch (3M+)")</f>
        <v/>
      </c>
      <c r="F24" s="77" t="n"/>
      <c r="G24" s="96">
        <f>COUNTIF('Bench Master'!Q3:Q100,"✅ On Track")</f>
        <v/>
      </c>
      <c r="H24" s="77" t="n"/>
      <c r="I24" s="96">
        <f>IFERROR(MAX('Bench Master'!K3:K100),"—")</f>
        <v/>
      </c>
      <c r="J24" s="77" t="n"/>
    </row>
    <row r="25" ht="22" customHeight="1" s="60">
      <c r="A25" s="97" t="inlineStr">
        <is>
          <t>Escalate now</t>
        </is>
      </c>
      <c r="B25" s="77" t="n"/>
      <c r="C25" s="97" t="inlineStr">
        <is>
          <t>Review this week</t>
        </is>
      </c>
      <c r="D25" s="77" t="n"/>
      <c r="E25" s="97" t="inlineStr">
        <is>
          <t>Schedule check-in</t>
        </is>
      </c>
      <c r="F25" s="77" t="n"/>
      <c r="G25" s="97" t="inlineStr">
        <is>
          <t>Within safe window</t>
        </is>
      </c>
      <c r="H25" s="77" t="n"/>
      <c r="I25" s="97" t="inlineStr">
        <is>
          <t>Days (worst case)</t>
        </is>
      </c>
      <c r="J25" s="77" t="n"/>
    </row>
    <row r="26" ht="18" customHeight="1" s="60">
      <c r="A26" s="98" t="inlineStr">
        <is>
          <t>ℹ  See 'Aging Report' sheet for full breakdown with recommended actions per resource.</t>
        </is>
      </c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77" t="n"/>
    </row>
  </sheetData>
  <mergeCells count="66">
    <mergeCell ref="A24:B24"/>
    <mergeCell ref="A14:J14"/>
    <mergeCell ref="C24:D24"/>
    <mergeCell ref="A22:J22"/>
    <mergeCell ref="E24:F24"/>
    <mergeCell ref="C5:D5"/>
    <mergeCell ref="E5:F5"/>
    <mergeCell ref="E23:F23"/>
    <mergeCell ref="A20:J20"/>
    <mergeCell ref="G23:H23"/>
    <mergeCell ref="G8:H8"/>
    <mergeCell ref="E17:F17"/>
    <mergeCell ref="G17:H17"/>
    <mergeCell ref="E8:F8"/>
    <mergeCell ref="C4:D4"/>
    <mergeCell ref="E4:F4"/>
    <mergeCell ref="C10:D10"/>
    <mergeCell ref="A25:B25"/>
    <mergeCell ref="E10:F10"/>
    <mergeCell ref="C25:D25"/>
    <mergeCell ref="G10:H10"/>
    <mergeCell ref="E19:F19"/>
    <mergeCell ref="I25:J25"/>
    <mergeCell ref="G19:H19"/>
    <mergeCell ref="C9:D9"/>
    <mergeCell ref="A18:B18"/>
    <mergeCell ref="G18:H18"/>
    <mergeCell ref="E9:F9"/>
    <mergeCell ref="A3:B3"/>
    <mergeCell ref="G3:H3"/>
    <mergeCell ref="I18:J18"/>
    <mergeCell ref="I3:J3"/>
    <mergeCell ref="A1:J1"/>
    <mergeCell ref="G24:H24"/>
    <mergeCell ref="I24:J24"/>
    <mergeCell ref="A5:B5"/>
    <mergeCell ref="G5:H5"/>
    <mergeCell ref="I5:J5"/>
    <mergeCell ref="I23:J23"/>
    <mergeCell ref="I8:J8"/>
    <mergeCell ref="A16:J16"/>
    <mergeCell ref="A17:B17"/>
    <mergeCell ref="A8:B8"/>
    <mergeCell ref="C17:D17"/>
    <mergeCell ref="I17:J17"/>
    <mergeCell ref="C8:D8"/>
    <mergeCell ref="A23:B23"/>
    <mergeCell ref="C23:D23"/>
    <mergeCell ref="A4:B4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  <mergeCell ref="E18:F18"/>
    <mergeCell ref="A26:J26"/>
    <mergeCell ref="C18:D18"/>
    <mergeCell ref="A9:B9"/>
    <mergeCell ref="G9:H9"/>
    <mergeCell ref="C3:D3"/>
    <mergeCell ref="I9:J9"/>
    <mergeCell ref="E3:F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888780"/>
    <outlinePr summaryBelow="1" summaryRight="1"/>
    <pageSetUpPr/>
  </sheetPr>
  <dimension ref="A1:C56"/>
  <sheetViews>
    <sheetView showGridLines="0" workbookViewId="0">
      <selection activeCell="A1" sqref="A1"/>
    </sheetView>
  </sheetViews>
  <sheetFormatPr baseColWidth="8" defaultRowHeight="15"/>
  <cols>
    <col width="55" customWidth="1" style="60" min="1" max="1"/>
  </cols>
  <sheetData>
    <row r="1" ht="24" customHeight="1" s="60">
      <c r="A1" s="59" t="inlineStr">
        <is>
          <t>CONFIG &amp; LOOKUP TABLES — Do not delete</t>
        </is>
      </c>
    </row>
    <row r="3">
      <c r="A3" s="50" t="inlineStr">
        <is>
          <t>Status Options</t>
        </is>
      </c>
    </row>
    <row r="4">
      <c r="A4" s="5" t="inlineStr">
        <is>
          <t>Available</t>
        </is>
      </c>
    </row>
    <row r="5">
      <c r="A5" s="71" t="inlineStr">
        <is>
          <t>Partial Available</t>
        </is>
      </c>
    </row>
    <row r="6">
      <c r="A6" s="2" t="inlineStr">
        <is>
          <t>In Training</t>
        </is>
      </c>
    </row>
    <row r="7">
      <c r="A7" s="5" t="inlineStr">
        <is>
          <t>Shadow Mode</t>
        </is>
      </c>
    </row>
    <row r="8">
      <c r="A8" s="2" t="inlineStr">
        <is>
          <t>On Leave</t>
        </is>
      </c>
    </row>
    <row r="9">
      <c r="A9" s="5" t="inlineStr">
        <is>
          <t>Allocated</t>
        </is>
      </c>
    </row>
    <row r="11">
      <c r="A11" s="50" t="inlineStr">
        <is>
          <t>Skill Categories</t>
        </is>
      </c>
    </row>
    <row r="12">
      <c r="A12" s="2" t="inlineStr">
        <is>
          <t>Frontend</t>
        </is>
      </c>
    </row>
    <row r="13">
      <c r="A13" s="5" t="inlineStr">
        <is>
          <t>Backend</t>
        </is>
      </c>
    </row>
    <row r="14">
      <c r="A14" s="2" t="inlineStr">
        <is>
          <t>Cloud</t>
        </is>
      </c>
    </row>
    <row r="15">
      <c r="A15" s="5" t="inlineStr">
        <is>
          <t>Data &amp; Analytics</t>
        </is>
      </c>
    </row>
    <row r="16">
      <c r="A16" s="2" t="inlineStr">
        <is>
          <t>QA &amp; Testing</t>
        </is>
      </c>
    </row>
    <row r="17">
      <c r="A17" s="5" t="inlineStr">
        <is>
          <t>DevOps</t>
        </is>
      </c>
    </row>
    <row r="18">
      <c r="A18" s="2" t="inlineStr">
        <is>
          <t>BA / PM</t>
        </is>
      </c>
    </row>
    <row r="19">
      <c r="A19" s="5" t="inlineStr">
        <is>
          <t>GenAI / LLM</t>
        </is>
      </c>
    </row>
    <row r="21">
      <c r="A21" s="50" t="inlineStr">
        <is>
          <t>Priority Levels</t>
        </is>
      </c>
    </row>
    <row r="22">
      <c r="A22" s="2" t="inlineStr">
        <is>
          <t>Critical</t>
        </is>
      </c>
    </row>
    <row r="23">
      <c r="A23" s="5" t="inlineStr">
        <is>
          <t>High</t>
        </is>
      </c>
    </row>
    <row r="24">
      <c r="A24" s="2" t="inlineStr">
        <is>
          <t>Medium</t>
        </is>
      </c>
    </row>
    <row r="25">
      <c r="A25" s="5" t="inlineStr">
        <is>
          <t>Low</t>
        </is>
      </c>
    </row>
    <row r="27">
      <c r="A27" s="50" t="inlineStr">
        <is>
          <t>Training Modes</t>
        </is>
      </c>
    </row>
    <row r="28">
      <c r="A28" s="2" t="inlineStr">
        <is>
          <t>Online / Self-paced</t>
        </is>
      </c>
    </row>
    <row r="29">
      <c r="A29" s="5" t="inlineStr">
        <is>
          <t>Instructor-led</t>
        </is>
      </c>
    </row>
    <row r="30">
      <c r="A30" s="2" t="inlineStr">
        <is>
          <t>Classroom</t>
        </is>
      </c>
    </row>
    <row r="31">
      <c r="A31" s="5" t="inlineStr">
        <is>
          <t>On-the-Job</t>
        </is>
      </c>
    </row>
    <row r="32">
      <c r="A32" s="2" t="inlineStr">
        <is>
          <t>Blended</t>
        </is>
      </c>
    </row>
    <row r="34">
      <c r="A34" s="50" t="inlineStr">
        <is>
          <t>Locations</t>
        </is>
      </c>
    </row>
    <row r="35">
      <c r="A35" s="5" t="inlineStr">
        <is>
          <t>Mumbai</t>
        </is>
      </c>
    </row>
    <row r="36">
      <c r="A36" s="2" t="inlineStr">
        <is>
          <t>Pune</t>
        </is>
      </c>
    </row>
    <row r="37">
      <c r="A37" s="5" t="inlineStr">
        <is>
          <t>Bengaluru</t>
        </is>
      </c>
    </row>
    <row r="38">
      <c r="A38" s="2" t="inlineStr">
        <is>
          <t>Hyderabad</t>
        </is>
      </c>
    </row>
    <row r="39">
      <c r="A39" s="5" t="inlineStr">
        <is>
          <t>Chennai</t>
        </is>
      </c>
    </row>
    <row r="40">
      <c r="A40" s="2" t="inlineStr">
        <is>
          <t>Delhi / NCR</t>
        </is>
      </c>
    </row>
    <row r="41">
      <c r="A41" s="5" t="inlineStr">
        <is>
          <t>Remote</t>
        </is>
      </c>
    </row>
    <row r="43">
      <c r="A43" s="50" t="inlineStr">
        <is>
          <t>Bench Pool Rules</t>
        </is>
      </c>
    </row>
    <row r="44">
      <c r="A44" s="19" t="inlineStr">
        <is>
          <t>[Learner Pool]  Max duration: 3 months (90 days)</t>
        </is>
      </c>
    </row>
    <row r="45">
      <c r="A45" s="19" t="inlineStr">
        <is>
          <t>[Learner Pool]  Day 60: Mandatory performance review by Training Head</t>
        </is>
      </c>
    </row>
    <row r="46">
      <c r="A46" s="19" t="inlineStr">
        <is>
          <t>[Learner Pool]  Review outcome Promoted → Moved to Innovation Pool</t>
        </is>
      </c>
    </row>
    <row r="47">
      <c r="A47" s="19" t="inlineStr">
        <is>
          <t>[Learner Pool]  Review outcome Not Promoted → Exit by Day 90</t>
        </is>
      </c>
    </row>
    <row r="48">
      <c r="A48" s="20" t="inlineStr">
        <is>
          <t>[Innovation Pool]  No duration limit — stays until allocated to project</t>
        </is>
      </c>
    </row>
    <row r="49">
      <c r="A49" s="20" t="inlineStr">
        <is>
          <t>[Innovation Pool]  Allocation priority: High — first in line for demands</t>
        </is>
      </c>
    </row>
    <row r="51">
      <c r="A51" s="72" t="inlineStr">
        <is>
          <t>Pool Review Outcomes</t>
        </is>
      </c>
    </row>
    <row r="52">
      <c r="A52" s="73" t="inlineStr">
        <is>
          <t>Pending</t>
        </is>
      </c>
    </row>
    <row r="53">
      <c r="A53" s="71" t="inlineStr">
        <is>
          <t>Promoted</t>
        </is>
      </c>
    </row>
    <row r="54">
      <c r="A54" s="73" t="inlineStr">
        <is>
          <t>Exit</t>
        </is>
      </c>
    </row>
    <row r="55">
      <c r="A55" s="71" t="inlineStr">
        <is>
          <t>Release</t>
        </is>
      </c>
    </row>
    <row r="56">
      <c r="A56" s="73" t="inlineStr">
        <is>
          <t>Deferred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2026-06-22T06:42:50Z</dcterms:created>
  <dcterms:modified xmlns:dcterms="http://purl.org/dc/terms/" xmlns:xsi="http://www.w3.org/2001/XMLSchema-instance" xsi:type="dcterms:W3CDTF">2026-06-24T11:36:14Z</dcterms:modified>
</cp:coreProperties>
</file>