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9"/>
  <workbookPr/>
  <xr:revisionPtr revIDLastSave="0" documentId="8_{EC971A8F-8461-428D-BEF4-7F03036498C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ench Master" sheetId="1" r:id="rId1"/>
    <sheet name="Aging Report" sheetId="2" r:id="rId2"/>
    <sheet name="Pool Review Log" sheetId="3" r:id="rId3"/>
    <sheet name="Skill Matrix" sheetId="4" r:id="rId4"/>
    <sheet name="Training Tracker" sheetId="5" r:id="rId5"/>
    <sheet name="Demand Pipeline" sheetId="6" r:id="rId6"/>
    <sheet name="Dashboard" sheetId="7" r:id="rId7"/>
    <sheet name="Config &amp; Lookups" sheetId="8" r:id="rId8"/>
    <sheet name="Sheet2" sheetId="10" r:id="rId9"/>
  </sheets>
  <definedNames>
    <definedName name="_xlnm._FilterDatabase" localSheetId="0" hidden="1">'Bench Master'!$A$1:$R$9</definedName>
    <definedName name="_xlnm._FilterDatabase" localSheetId="2" hidden="1">'Pool Review Log'!$A$2:$L$2</definedName>
    <definedName name="_xlnm._FilterDatabase" localSheetId="4" hidden="1">'Training Tracker'!$A$1:$L$7</definedName>
    <definedName name="_xlnm._FilterDatabase" localSheetId="5" hidden="1">'Demand Pipeline'!$A$1:$M$7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10" l="1"/>
  <c r="O27" i="1"/>
  <c r="P27" i="1" s="1"/>
  <c r="L11" i="10"/>
  <c r="P11" i="10"/>
  <c r="Q11" i="10"/>
  <c r="O28" i="1"/>
  <c r="P28" i="1" s="1"/>
  <c r="K28" i="1"/>
  <c r="O8" i="1"/>
  <c r="P7" i="1"/>
  <c r="K7" i="1"/>
  <c r="L9" i="10"/>
  <c r="P9" i="10"/>
  <c r="Q9" i="10"/>
  <c r="P8" i="10"/>
  <c r="Q8" i="10" s="1"/>
  <c r="L8" i="10"/>
  <c r="K17" i="1"/>
  <c r="O14" i="1"/>
  <c r="O26" i="1"/>
  <c r="P26" i="1" s="1"/>
  <c r="O25" i="1"/>
  <c r="P25" i="1"/>
  <c r="Q6" i="10"/>
  <c r="P6" i="10"/>
  <c r="L6" i="10"/>
  <c r="K26" i="1"/>
  <c r="K27" i="1"/>
  <c r="K25" i="1"/>
  <c r="K24" i="1"/>
  <c r="K23" i="1"/>
  <c r="O22" i="1"/>
  <c r="P22" i="1" s="1"/>
  <c r="K22" i="1"/>
  <c r="O21" i="1"/>
  <c r="K21" i="1"/>
  <c r="P4" i="10"/>
  <c r="Q4" i="10" s="1"/>
  <c r="L4" i="10"/>
  <c r="P3" i="10"/>
  <c r="Q3" i="10" s="1"/>
  <c r="L3" i="10"/>
  <c r="G24" i="7"/>
  <c r="E24" i="7"/>
  <c r="C24" i="7"/>
  <c r="A24" i="7"/>
  <c r="I18" i="7"/>
  <c r="G18" i="7"/>
  <c r="E18" i="7"/>
  <c r="C18" i="7"/>
  <c r="A18" i="7"/>
  <c r="I9" i="7"/>
  <c r="E9" i="7"/>
  <c r="C9" i="7"/>
  <c r="A9" i="7"/>
  <c r="I4" i="7"/>
  <c r="E4" i="7"/>
  <c r="C4" i="7"/>
  <c r="A4" i="7"/>
  <c r="L7" i="5"/>
  <c r="H7" i="5"/>
  <c r="L6" i="5"/>
  <c r="H6" i="5"/>
  <c r="L5" i="5"/>
  <c r="H5" i="5"/>
  <c r="L4" i="5"/>
  <c r="H4" i="5"/>
  <c r="L3" i="5"/>
  <c r="H3" i="5"/>
  <c r="O23" i="1"/>
  <c r="P23" i="1" s="1"/>
  <c r="O20" i="1"/>
  <c r="P20" i="1" s="1"/>
  <c r="K20" i="1"/>
  <c r="O19" i="1"/>
  <c r="P19" i="1" s="1"/>
  <c r="K19" i="1"/>
  <c r="O18" i="1"/>
  <c r="P18" i="1" s="1"/>
  <c r="K18" i="1"/>
  <c r="P16" i="1"/>
  <c r="O16" i="1"/>
  <c r="K16" i="1"/>
  <c r="P15" i="1"/>
  <c r="O15" i="1"/>
  <c r="K15" i="1"/>
  <c r="P14" i="1"/>
  <c r="K14" i="1"/>
  <c r="P13" i="1"/>
  <c r="O13" i="1"/>
  <c r="K13" i="1"/>
  <c r="P12" i="1"/>
  <c r="O12" i="1"/>
  <c r="K12" i="1"/>
  <c r="P11" i="1"/>
  <c r="O11" i="1"/>
  <c r="K11" i="1"/>
  <c r="P10" i="1"/>
  <c r="O10" i="1"/>
  <c r="K10" i="1"/>
  <c r="P9" i="1"/>
  <c r="O9" i="1"/>
  <c r="K9" i="1"/>
  <c r="P8" i="1"/>
  <c r="K8" i="1"/>
  <c r="P6" i="1"/>
  <c r="O6" i="1"/>
  <c r="K6" i="1"/>
  <c r="P5" i="1"/>
  <c r="O5" i="1"/>
  <c r="K5" i="1"/>
  <c r="P4" i="1"/>
  <c r="O4" i="1"/>
  <c r="K4" i="1"/>
  <c r="P3" i="1"/>
  <c r="O3" i="1"/>
  <c r="K3" i="1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P3" i="4"/>
  <c r="I24" i="7" l="1"/>
  <c r="G9" i="7"/>
  <c r="G4" i="7"/>
</calcChain>
</file>

<file path=xl/sharedStrings.xml><?xml version="1.0" encoding="utf-8"?>
<sst xmlns="http://schemas.openxmlformats.org/spreadsheetml/2006/main" count="880" uniqueCount="364">
  <si>
    <t>BENCH RESOURCE MASTER — Training Head Dashboard</t>
  </si>
  <si>
    <t>Emp ID</t>
  </si>
  <si>
    <t>Full Name</t>
  </si>
  <si>
    <t>Profile</t>
  </si>
  <si>
    <t>Department</t>
  </si>
  <si>
    <t>Experience (Yrs)</t>
  </si>
  <si>
    <t>Primary Skill</t>
  </si>
  <si>
    <t>Secondary Skills</t>
  </si>
  <si>
    <t>Certifications</t>
  </si>
  <si>
    <t>Bench Start Date</t>
  </si>
  <si>
    <t>Expected Allocation Date</t>
  </si>
  <si>
    <t>Bench Days</t>
  </si>
  <si>
    <t>Status</t>
  </si>
  <si>
    <t>Bench Type</t>
  </si>
  <si>
    <t>Pool Entry Date</t>
  </si>
  <si>
    <t>Review Date (Day 60)</t>
  </si>
  <si>
    <t>Pool Status</t>
  </si>
  <si>
    <t>Aging Alert</t>
  </si>
  <si>
    <t>Training Program</t>
  </si>
  <si>
    <t>Training End Date</t>
  </si>
  <si>
    <t>Skill Readiness %</t>
  </si>
  <si>
    <t>Preferred Role</t>
  </si>
  <si>
    <t>Location</t>
  </si>
  <si>
    <t>Remarks</t>
  </si>
  <si>
    <t>EMP001</t>
  </si>
  <si>
    <t>Deepak Bharta</t>
  </si>
  <si>
    <t>UI/UX designer</t>
  </si>
  <si>
    <t>Design</t>
  </si>
  <si>
    <t>Adobe Suite, Figma, Adobe XD</t>
  </si>
  <si>
    <t>Apple Sketch</t>
  </si>
  <si>
    <t>Available</t>
  </si>
  <si>
    <t>Innovation Pool</t>
  </si>
  <si>
    <t>🚨 Critical (1Y+)</t>
  </si>
  <si>
    <t>Designer</t>
  </si>
  <si>
    <t>Remote</t>
  </si>
  <si>
    <t>Ready for allocation</t>
  </si>
  <si>
    <t>EMP002</t>
  </si>
  <si>
    <t>Parul Paul</t>
  </si>
  <si>
    <t>Data Engineer</t>
  </si>
  <si>
    <t>Delivery</t>
  </si>
  <si>
    <t xml:space="preserve"> Azure Data Factory, Azure SQL Server, Snowflake , Python , MySQL</t>
  </si>
  <si>
    <t>Pyspark, Azure Databricks</t>
  </si>
  <si>
    <t>Microsoft certified: Azure Administrator Associate                                                                                  Microsoft certified: Azure Solution Architect Expert                                                         Microsoft certified: Fabric Data Engineer (DP 700)</t>
  </si>
  <si>
    <t>Partial Available</t>
  </si>
  <si>
    <t>AI Agents</t>
  </si>
  <si>
    <t>Data Analyst</t>
  </si>
  <si>
    <t>20 hrs per month in SIG</t>
  </si>
  <si>
    <t>EMP003</t>
  </si>
  <si>
    <t>Nagender Nandrey</t>
  </si>
  <si>
    <t>Business Analyst</t>
  </si>
  <si>
    <t>Data Engineering, Databases, Warehousing,Python, SQL, Fabric</t>
  </si>
  <si>
    <t>Oracle Cloud Database Migration and Integration Professional</t>
  </si>
  <si>
    <t>BA learning</t>
  </si>
  <si>
    <t>BA</t>
  </si>
  <si>
    <t>Needs upskilling</t>
  </si>
  <si>
    <t>EMP004</t>
  </si>
  <si>
    <t>Nishita Toshi</t>
  </si>
  <si>
    <t>Data Quality</t>
  </si>
  <si>
    <t>Data engineering- ETL, data quality, snowflake, Azure services, Python(Django), SQL server, My SQL, MongoDB</t>
  </si>
  <si>
    <t>Microsoft certified: Azure Administrator Associate                                                              Microsoft certified: Fabric Data Engineer (DP 700)</t>
  </si>
  <si>
    <t>EMP005</t>
  </si>
  <si>
    <t>Shrutika Mandloi</t>
  </si>
  <si>
    <t>Frontend Developer</t>
  </si>
  <si>
    <t>HTML, CSS, Javascript, ReactJS</t>
  </si>
  <si>
    <t>On Leave</t>
  </si>
  <si>
    <t>N/A</t>
  </si>
  <si>
    <t>Maternity leave</t>
  </si>
  <si>
    <t>EMP006</t>
  </si>
  <si>
    <t>Pooja Sahu</t>
  </si>
  <si>
    <t>Quality Analyst</t>
  </si>
  <si>
    <t>Quality</t>
  </si>
  <si>
    <t>Testim for Mobile &amp; Web Application, API testing using Postman &amp; Swagger, Selenium with Java, Playwright using TS/JS, Manual &amp; Automation Testing.</t>
  </si>
  <si>
    <t>Selenium with Java - Basics to Advance + Frameworks by Udemy            Tosca Product Consultant by Tricentis Academy                                           Testim Fundamental Creating - Automated Tests by Tricentis Academy</t>
  </si>
  <si>
    <t>Learner Pool</t>
  </si>
  <si>
    <t>🔴 Action Needed (6M+)</t>
  </si>
  <si>
    <t>Automation</t>
  </si>
  <si>
    <t>Pune</t>
  </si>
  <si>
    <t>EMP007</t>
  </si>
  <si>
    <t>Pallavi Tiwari</t>
  </si>
  <si>
    <t>QA Touch, Test Rail, MS Excel, Postman, Jmeter,BlazeMeter, Wave Tool, Testim</t>
  </si>
  <si>
    <t>Nagpur</t>
  </si>
  <si>
    <t>EMP008</t>
  </si>
  <si>
    <t>Divya kashyap</t>
  </si>
  <si>
    <t>MySQL server, SQL querying, ADF, Python, Django, PostgreSQL</t>
  </si>
  <si>
    <t>EMP009</t>
  </si>
  <si>
    <t>Muskan Goyal</t>
  </si>
  <si>
    <t>html, css, bootstrap,javascript</t>
  </si>
  <si>
    <t>PowerBI</t>
  </si>
  <si>
    <t>PowerBI, DP 700</t>
  </si>
  <si>
    <t>BI</t>
  </si>
  <si>
    <t>EMP010</t>
  </si>
  <si>
    <t>Somya Ranjan</t>
  </si>
  <si>
    <t>AI Engineer</t>
  </si>
  <si>
    <t>Python, AI</t>
  </si>
  <si>
    <t>Data Engineering</t>
  </si>
  <si>
    <t>Data Scientist</t>
  </si>
  <si>
    <t>⚠ Watch (3M+)</t>
  </si>
  <si>
    <t>EMP011</t>
  </si>
  <si>
    <t>Pooja Ruchandani</t>
  </si>
  <si>
    <t>Project Management</t>
  </si>
  <si>
    <t>EMP012</t>
  </si>
  <si>
    <t>Abha Tiwari</t>
  </si>
  <si>
    <t>Backend Engineer</t>
  </si>
  <si>
    <t>Java</t>
  </si>
  <si>
    <t>Python</t>
  </si>
  <si>
    <t>Java Developer</t>
  </si>
  <si>
    <t>EMP013</t>
  </si>
  <si>
    <t>Dev Narayan</t>
  </si>
  <si>
    <t>Java, Python</t>
  </si>
  <si>
    <t>SQL</t>
  </si>
  <si>
    <t>Ab-102</t>
  </si>
  <si>
    <t>Java/Python</t>
  </si>
  <si>
    <t>EMP014</t>
  </si>
  <si>
    <t>Yogesh Sahu</t>
  </si>
  <si>
    <t>TIL, Windsor+Nestive+Sythetiq, Time tracking tool</t>
  </si>
  <si>
    <t xml:space="preserve">React </t>
  </si>
  <si>
    <t>EMP015</t>
  </si>
  <si>
    <t>Garima Burad</t>
  </si>
  <si>
    <t xml:space="preserve">Testim, Tosca, Jmeter, Playwright, selenium </t>
  </si>
  <si>
    <t>EMP016</t>
  </si>
  <si>
    <t>Radhika Boldiya</t>
  </si>
  <si>
    <t>Intern</t>
  </si>
  <si>
    <t>Training</t>
  </si>
  <si>
    <t>Python, Devops</t>
  </si>
  <si>
    <t>In Training</t>
  </si>
  <si>
    <t>✅ On Track</t>
  </si>
  <si>
    <t>EMP017</t>
  </si>
  <si>
    <t>Sana Fatima</t>
  </si>
  <si>
    <t>EMP018</t>
  </si>
  <si>
    <t>Harsh Barmeda</t>
  </si>
  <si>
    <t>EMP019</t>
  </si>
  <si>
    <t>Parth Sarthi Dalai</t>
  </si>
  <si>
    <t>Phyton</t>
  </si>
  <si>
    <t>EMP020</t>
  </si>
  <si>
    <t>Drishti Sharma</t>
  </si>
  <si>
    <t xml:space="preserve">JavaScript, Automation: Testim, Playwright framework, Defect management tools: JIRA, Rally, Azure DevOps </t>
  </si>
  <si>
    <t>QA</t>
  </si>
  <si>
    <t>Resigned</t>
  </si>
  <si>
    <t>EMP021</t>
  </si>
  <si>
    <t>Shraddha Bhattacharya</t>
  </si>
  <si>
    <t>Android Developer</t>
  </si>
  <si>
    <t>Android (Java)</t>
  </si>
  <si>
    <t>Mobile developer</t>
  </si>
  <si>
    <t>EMP022</t>
  </si>
  <si>
    <t>Anand Shrivas</t>
  </si>
  <si>
    <t>UI/UX Designing, Visualisation, Team Management, Graphic Designing, Video Editing, Vfx, 3D Animation</t>
  </si>
  <si>
    <t>EMP023</t>
  </si>
  <si>
    <t>Abhishek  Mourya</t>
  </si>
  <si>
    <t>Mobile Developer</t>
  </si>
  <si>
    <t>JavaScript,kotlin, Java, C#,Dart</t>
  </si>
  <si>
    <t>Claude Certification</t>
  </si>
  <si>
    <t>Andriod developer</t>
  </si>
  <si>
    <t>EMP024</t>
  </si>
  <si>
    <t>Monika Gour</t>
  </si>
  <si>
    <t>EMP025</t>
  </si>
  <si>
    <t xml:space="preserve">Tarkeshwar </t>
  </si>
  <si>
    <t>C#</t>
  </si>
  <si>
    <t>Backend Developer</t>
  </si>
  <si>
    <t>EMP026</t>
  </si>
  <si>
    <t>Shashikala Prajapati</t>
  </si>
  <si>
    <t>Fullstack Developer</t>
  </si>
  <si>
    <t>React, C#, Angular, SQL</t>
  </si>
  <si>
    <t>fullstack</t>
  </si>
  <si>
    <t>AGING BENCH REPORT — Resources Requiring Immediate Attention</t>
  </si>
  <si>
    <t>🚨 Critical: 365+ days</t>
  </si>
  <si>
    <t>🔴 Action Needed: 180–364 days</t>
  </si>
  <si>
    <t>⚠ Watch: 90–179 days</t>
  </si>
  <si>
    <t>✅ On Track: &lt; 90 days</t>
  </si>
  <si>
    <t>Generated: Auto-refresh from Bench Master</t>
  </si>
  <si>
    <t>🚨 CRITICAL — 365+ Days on Bench  (5 resources)</t>
  </si>
  <si>
    <t>Name</t>
  </si>
  <si>
    <t>Dept</t>
  </si>
  <si>
    <t>Pool</t>
  </si>
  <si>
    <t>Action Required</t>
  </si>
  <si>
    <t>Escalate to leadership — immediate placement or exit plan required</t>
  </si>
  <si>
    <t xml:space="preserve"> Azure Data Factory, Azure SQL Server, S…</t>
  </si>
  <si>
    <t>Data Engineering, Databases, Warehousing…</t>
  </si>
  <si>
    <t>Vijay Karsh</t>
  </si>
  <si>
    <t>JavaScript, C#, Python, Java, django and…</t>
  </si>
  <si>
    <t>Data engineering- ETL, data quality, sno…</t>
  </si>
  <si>
    <t>🔴 ACTION NEEDED — 180–364 Days  (6 resources)</t>
  </si>
  <si>
    <t>Sristi Choubey</t>
  </si>
  <si>
    <t>Shadow Mode</t>
  </si>
  <si>
    <t>Selenium</t>
  </si>
  <si>
    <t>Manager review this week — map to demand or initiate upskilling</t>
  </si>
  <si>
    <t>Testim for Mobile &amp; Web Application, API…</t>
  </si>
  <si>
    <t>QA Touch, Test Rail, MS Excel, Postman, …</t>
  </si>
  <si>
    <t>MySQL server, SQL querying, ADF, Python,…</t>
  </si>
  <si>
    <t>⚠  WATCH — 90–179 Days  (6 resources)</t>
  </si>
  <si>
    <t>Schedule check-in — verify training / shadow mode progress</t>
  </si>
  <si>
    <t>TIL, Windsor+Nestive+Sythetiq, Time trac…</t>
  </si>
  <si>
    <t>Katyayani Sahu</t>
  </si>
  <si>
    <t>Rajkumari Kashyap</t>
  </si>
  <si>
    <t>✅ ON TRACK — Under 90 Days  (4 resources)</t>
  </si>
  <si>
    <t>Juhi Gupta</t>
  </si>
  <si>
    <t>Monitor — within acceptable bench window</t>
  </si>
  <si>
    <t>POOL REVIEW LOG — Learner Pool → Decision Tracker (Day 60 Review)</t>
  </si>
  <si>
    <t>Performance Rating</t>
  </si>
  <si>
    <t>Training %</t>
  </si>
  <si>
    <t>Skill Improvement</t>
  </si>
  <si>
    <t>Reviewer</t>
  </si>
  <si>
    <t>Review Outcome</t>
  </si>
  <si>
    <t>Outcome Date</t>
  </si>
  <si>
    <t>Innovation Pool Entry</t>
  </si>
  <si>
    <t>Katyayani</t>
  </si>
  <si>
    <t>Good</t>
  </si>
  <si>
    <t>Medium</t>
  </si>
  <si>
    <t>Training Head</t>
  </si>
  <si>
    <t>Release</t>
  </si>
  <si>
    <t>June 30 LWD</t>
  </si>
  <si>
    <t>SKILL MATRIX — Proficiency Tracker (1=Beginner, 2=Intermediate, 3=Advanced, 4=Expert)</t>
  </si>
  <si>
    <t>React.js</t>
  </si>
  <si>
    <t>Node.js</t>
  </si>
  <si>
    <t>AWS</t>
  </si>
  <si>
    <t>Azure</t>
  </si>
  <si>
    <t>DevOps/K8s</t>
  </si>
  <si>
    <t>Angular</t>
  </si>
  <si>
    <t>QA/Selenium</t>
  </si>
  <si>
    <t>Data/BI</t>
  </si>
  <si>
    <t>Agile/BA</t>
  </si>
  <si>
    <t>GenAI/LLM</t>
  </si>
  <si>
    <t>Overall Avg</t>
  </si>
  <si>
    <t>Devansh Pratap Singh</t>
  </si>
  <si>
    <t>TRAINING TRACKER — Program Progress &amp; Completion</t>
  </si>
  <si>
    <t>Category</t>
  </si>
  <si>
    <t>Mode</t>
  </si>
  <si>
    <t>Start Date</t>
  </si>
  <si>
    <t>End Date</t>
  </si>
  <si>
    <t>Duration (Days)</t>
  </si>
  <si>
    <t>Pre-Score</t>
  </si>
  <si>
    <t>Post-Score</t>
  </si>
  <si>
    <t>Improvement %</t>
  </si>
  <si>
    <t>Microsfoft fabric</t>
  </si>
  <si>
    <t>Data</t>
  </si>
  <si>
    <t>Online / Self-paced</t>
  </si>
  <si>
    <t>In Progress</t>
  </si>
  <si>
    <t xml:space="preserve">Devops </t>
  </si>
  <si>
    <t>Cloud</t>
  </si>
  <si>
    <t>Cyber Security</t>
  </si>
  <si>
    <t>Security</t>
  </si>
  <si>
    <t>AI</t>
  </si>
  <si>
    <t>DEMAND PIPELINE — Open Roles &amp; Resource Mapping</t>
  </si>
  <si>
    <t>Demand ID</t>
  </si>
  <si>
    <t>Account / Project</t>
  </si>
  <si>
    <t>Role Required</t>
  </si>
  <si>
    <t>Primary Skill Needed</t>
  </si>
  <si>
    <t>Band / Experience</t>
  </si>
  <si>
    <t>Priority</t>
  </si>
  <si>
    <t>Mapped Resource</t>
  </si>
  <si>
    <t>Mapping Date</t>
  </si>
  <si>
    <t>Match Score %</t>
  </si>
  <si>
    <t>Gap Skills</t>
  </si>
  <si>
    <t>DEM001</t>
  </si>
  <si>
    <t>Farragut</t>
  </si>
  <si>
    <t>Senior React Developer</t>
  </si>
  <si>
    <t>4-6 Yrs</t>
  </si>
  <si>
    <t>High</t>
  </si>
  <si>
    <t>Open</t>
  </si>
  <si>
    <t>EMP016 -  Yogesh Sahu</t>
  </si>
  <si>
    <t>Strong match</t>
  </si>
  <si>
    <t>DEM002</t>
  </si>
  <si>
    <t>Omnia</t>
  </si>
  <si>
    <t>Gen AI Engineer</t>
  </si>
  <si>
    <t>Gen AI, Python</t>
  </si>
  <si>
    <t>1-3 Yrs</t>
  </si>
  <si>
    <t>Critical</t>
  </si>
  <si>
    <t>EMP012 - Somya Ranjan</t>
  </si>
  <si>
    <t>DEM003</t>
  </si>
  <si>
    <t>Faraggut</t>
  </si>
  <si>
    <t>Azure Architect</t>
  </si>
  <si>
    <t>7-8 Yrs</t>
  </si>
  <si>
    <t>Low</t>
  </si>
  <si>
    <t>DEM004</t>
  </si>
  <si>
    <t>SIG</t>
  </si>
  <si>
    <t>Python, SQL</t>
  </si>
  <si>
    <t>DEM005</t>
  </si>
  <si>
    <t>Techment</t>
  </si>
  <si>
    <t>DevOps Lead</t>
  </si>
  <si>
    <t>Kubernetes, CI-CD</t>
  </si>
  <si>
    <t>BENCH MANAGEMENT DASHBOARD — Weekly Summary</t>
  </si>
  <si>
    <t>Total on Bench</t>
  </si>
  <si>
    <t>Available Now</t>
  </si>
  <si>
    <t>Avg Bench Days</t>
  </si>
  <si>
    <t>Open Demands</t>
  </si>
  <si>
    <t>All statuses</t>
  </si>
  <si>
    <t>Ready to allocate</t>
  </si>
  <si>
    <t>Active programs</t>
  </si>
  <si>
    <t>Target ≤ 10 days</t>
  </si>
  <si>
    <t>Unallocated roles</t>
  </si>
  <si>
    <t>Critical Demands</t>
  </si>
  <si>
    <t>Mapped This Week</t>
  </si>
  <si>
    <t>Avg Match Score</t>
  </si>
  <si>
    <t>Bench &gt;15 Days</t>
  </si>
  <si>
    <t>Completing Soon</t>
  </si>
  <si>
    <t>Urgent fills needed</t>
  </si>
  <si>
    <t>Last 7 days</t>
  </si>
  <si>
    <t>% skill fit</t>
  </si>
  <si>
    <t>Aging bench alert</t>
  </si>
  <si>
    <t>Training end ≤7 days</t>
  </si>
  <si>
    <t>ℹ  Auto-updates from Bench Master, Pool Review Log &amp; Demand Pipeline. Status legend: Available (ready) · Partial Available (part-time) · On Leave (maternity/other) · In Training · Shadow Mode · Allocated.</t>
  </si>
  <si>
    <t>POOL BREAKDOWN</t>
  </si>
  <si>
    <t>Reviews Due ≤7d</t>
  </si>
  <si>
    <t>Promoted to Innov</t>
  </si>
  <si>
    <t>Exits (Perf.)</t>
  </si>
  <si>
    <t>3-month clock</t>
  </si>
  <si>
    <t>No duration limit</t>
  </si>
  <si>
    <t>Act now</t>
  </si>
  <si>
    <t>Month 2 movers</t>
  </si>
  <si>
    <t>Performance exits</t>
  </si>
  <si>
    <t>ℹ  Learner Pool: 3-month max · Day 60 review → Promoted to Innovation Pool or Exit. Innovation Pool: No time limit, high allocation priority.</t>
  </si>
  <si>
    <t>AGING BENCH ALERTS</t>
  </si>
  <si>
    <t>🔴 Action (6M+)</t>
  </si>
  <si>
    <t>Longest Bench</t>
  </si>
  <si>
    <t>Escalate now</t>
  </si>
  <si>
    <t>Review this week</t>
  </si>
  <si>
    <t>Schedule check-in</t>
  </si>
  <si>
    <t>Within safe window</t>
  </si>
  <si>
    <t>Days (worst case)</t>
  </si>
  <si>
    <t>ℹ  See 'Aging Report' sheet for full breakdown with recommended actions per resource.</t>
  </si>
  <si>
    <t>CONFIG &amp; LOOKUP TABLES — Do not delete</t>
  </si>
  <si>
    <t>Status Options</t>
  </si>
  <si>
    <t>Allocated</t>
  </si>
  <si>
    <t>Skill Categories</t>
  </si>
  <si>
    <t>Frontend</t>
  </si>
  <si>
    <t>Backend</t>
  </si>
  <si>
    <t>Data &amp; Analytics</t>
  </si>
  <si>
    <t>QA &amp; Testing</t>
  </si>
  <si>
    <t>DevOps</t>
  </si>
  <si>
    <t>BA / PM</t>
  </si>
  <si>
    <t>GenAI / LLM</t>
  </si>
  <si>
    <t>Priority Levels</t>
  </si>
  <si>
    <t>Training Modes</t>
  </si>
  <si>
    <t>Instructor-led</t>
  </si>
  <si>
    <t>Classroom</t>
  </si>
  <si>
    <t>On-the-Job</t>
  </si>
  <si>
    <t>Blended</t>
  </si>
  <si>
    <t>Locations</t>
  </si>
  <si>
    <t>Mumbai</t>
  </si>
  <si>
    <t>Bengaluru</t>
  </si>
  <si>
    <t>Hyderabad</t>
  </si>
  <si>
    <t>Chennai</t>
  </si>
  <si>
    <t>Delhi / NCR</t>
  </si>
  <si>
    <t>Bench Pool Rules</t>
  </si>
  <si>
    <t>[Learner Pool]  Max duration: 3 months (90 days)</t>
  </si>
  <si>
    <t>[Learner Pool]  Day 60: Mandatory performance review by Training Head</t>
  </si>
  <si>
    <t>[Learner Pool]  Review outcome Promoted → Moved to Innovation Pool</t>
  </si>
  <si>
    <t>[Learner Pool]  Review outcome Not Promoted → Exit by Day 90</t>
  </si>
  <si>
    <t>[Innovation Pool]  No duration limit — stays until allocated to project</t>
  </si>
  <si>
    <t>[Innovation Pool]  Allocation priority: High — first in line for demands</t>
  </si>
  <si>
    <t>Pool Review Outcomes</t>
  </si>
  <si>
    <t>Pending</t>
  </si>
  <si>
    <t>Promoted</t>
  </si>
  <si>
    <t>Exit</t>
  </si>
  <si>
    <t>Deferred</t>
  </si>
  <si>
    <t>LWD June  30</t>
  </si>
  <si>
    <t>—</t>
  </si>
  <si>
    <t>Omnia force replatform</t>
  </si>
  <si>
    <t>JavaScript, C#, Python, Java, django and Blazor, webflow, wordpress</t>
  </si>
  <si>
    <t>React, PowerBI</t>
  </si>
  <si>
    <t>Playwright</t>
  </si>
  <si>
    <t>Urgent — high demand skill</t>
  </si>
  <si>
    <t>Deepak Ahluwalia</t>
  </si>
  <si>
    <t>Manual QA - Web and Mobile</t>
  </si>
  <si>
    <t>Automation - Basic Claude AI and Playwright is in progress.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</si>
</sst>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"/>
    <numFmt numFmtId="166" formatCode="dd\-mmm\-yy"/>
    <numFmt numFmtId="167" formatCode="yyyy\-mm\-dd\ h:mm:ss"/>
  </numFmts>
  <fonts count="35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10"/>
      <color rgb="FF1F2D3D"/>
      <name val="Arial"/>
    </font>
    <font>
      <b/>
      <sz val="12"/>
      <color rgb="FFFFFFFF"/>
      <name val="Arial"/>
    </font>
    <font>
      <b/>
      <sz val="10"/>
      <color rgb="FF1F2D3D"/>
      <name val="Arial"/>
    </font>
    <font>
      <b/>
      <sz val="14"/>
      <color rgb="FFFFFFFF"/>
      <name val="Arial"/>
    </font>
    <font>
      <b/>
      <sz val="20"/>
      <color rgb="FF1F2D3D"/>
      <name val="Arial"/>
    </font>
    <font>
      <i/>
      <sz val="9"/>
      <color rgb="FF888780"/>
      <name val="Arial"/>
    </font>
    <font>
      <i/>
      <sz val="10"/>
      <color rgb="FF2E5FA3"/>
      <name val="Arial"/>
    </font>
    <font>
      <b/>
      <sz val="11"/>
      <color rgb="FFFFFFFF"/>
      <name val="Arial"/>
    </font>
    <font>
      <i/>
      <sz val="10"/>
      <color rgb="FF7F77DD"/>
      <name val="Arial"/>
    </font>
    <font>
      <sz val="10"/>
      <color rgb="FFB45309"/>
      <name val="Arial"/>
    </font>
    <font>
      <sz val="10"/>
      <color rgb="FF7F77DD"/>
      <name val="Arial"/>
    </font>
    <font>
      <sz val="11"/>
      <color rgb="FF000000"/>
      <name val="Calibri"/>
      <scheme val="minor"/>
    </font>
    <font>
      <sz val="11"/>
      <color rgb="FF242424"/>
      <name val="Aptos Narrow"/>
      <charset val="1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7B1F1F"/>
      <name val="Arial"/>
    </font>
    <font>
      <b/>
      <sz val="10"/>
      <color rgb="FFE24B4A"/>
      <name val="Arial"/>
    </font>
    <font>
      <b/>
      <sz val="10"/>
      <color rgb="FFE8590C"/>
      <name val="Arial"/>
    </font>
    <font>
      <b/>
      <sz val="10"/>
      <color rgb="FF1D9E75"/>
      <name val="Arial"/>
    </font>
    <font>
      <i/>
      <sz val="10"/>
      <color rgb="FF888780"/>
      <name val="Arial"/>
    </font>
    <font>
      <b/>
      <sz val="11"/>
      <color rgb="FF7B1F1F"/>
      <name val="Arial"/>
    </font>
    <font>
      <b/>
      <sz val="9"/>
      <color rgb="FF7B1F1F"/>
      <name val="Arial"/>
    </font>
    <font>
      <b/>
      <sz val="11"/>
      <color rgb="FFE24B4A"/>
      <name val="Arial"/>
    </font>
    <font>
      <b/>
      <sz val="9"/>
      <color rgb="FFE24B4A"/>
      <name val="Arial"/>
    </font>
    <font>
      <b/>
      <sz val="11"/>
      <color rgb="FFE8590C"/>
      <name val="Arial"/>
    </font>
    <font>
      <b/>
      <sz val="9"/>
      <color rgb="FFE8590C"/>
      <name val="Arial"/>
    </font>
    <font>
      <b/>
      <sz val="11"/>
      <color rgb="FF1D9E75"/>
      <name val="Arial"/>
    </font>
    <font>
      <b/>
      <sz val="9"/>
      <color rgb="FF1D9E75"/>
      <name val="Arial"/>
    </font>
    <font>
      <b/>
      <sz val="9"/>
      <color rgb="FFFFFFFF"/>
      <name val="Arial"/>
    </font>
    <font>
      <i/>
      <sz val="10"/>
      <color rgb="FF7B1F1F"/>
      <name val="Arial"/>
    </font>
    <font>
      <sz val="9"/>
      <color rgb="FF1F2D3D"/>
      <name val="Arial"/>
    </font>
    <font>
      <sz val="10"/>
      <name val="Calibri"/>
      <charset val="1"/>
    </font>
  </fonts>
  <fills count="19">
    <fill>
      <patternFill patternType="none"/>
    </fill>
    <fill>
      <patternFill patternType="gray125"/>
    </fill>
    <fill>
      <patternFill patternType="solid">
        <fgColor rgb="FF2E5FA3"/>
      </patternFill>
    </fill>
    <fill>
      <patternFill patternType="solid">
        <fgColor rgb="FFF59E0B"/>
      </patternFill>
    </fill>
    <fill>
      <patternFill patternType="solid">
        <fgColor rgb="FFD6E4F7"/>
      </patternFill>
    </fill>
    <fill>
      <patternFill patternType="solid">
        <fgColor rgb="FF888780"/>
      </patternFill>
    </fill>
    <fill>
      <patternFill patternType="solid">
        <fgColor rgb="FFEEEDFE"/>
      </patternFill>
    </fill>
    <fill>
      <patternFill patternType="solid">
        <fgColor rgb="FFF5F5F2"/>
      </patternFill>
    </fill>
    <fill>
      <patternFill patternType="solid">
        <fgColor rgb="FF7F77DD"/>
      </patternFill>
    </fill>
    <fill>
      <patternFill patternType="solid">
        <fgColor rgb="FFFFFFFF"/>
      </patternFill>
    </fill>
    <fill>
      <patternFill patternType="solid">
        <fgColor rgb="FF1F2D3D"/>
      </patternFill>
    </fill>
    <fill>
      <patternFill patternType="solid">
        <fgColor rgb="FFF5E0E0"/>
      </patternFill>
    </fill>
    <fill>
      <patternFill patternType="solid">
        <fgColor rgb="FFFCEBEB"/>
      </patternFill>
    </fill>
    <fill>
      <patternFill patternType="solid">
        <fgColor rgb="FFFAEEDA"/>
      </patternFill>
    </fill>
    <fill>
      <patternFill patternType="solid">
        <fgColor rgb="FFE1F5EE"/>
      </patternFill>
    </fill>
    <fill>
      <patternFill patternType="solid">
        <fgColor rgb="FF7B1F1F"/>
      </patternFill>
    </fill>
    <fill>
      <patternFill patternType="solid">
        <fgColor rgb="FFE24B4A"/>
      </patternFill>
    </fill>
    <fill>
      <patternFill patternType="solid">
        <fgColor rgb="FFE8590C"/>
      </patternFill>
    </fill>
    <fill>
      <patternFill patternType="solid">
        <fgColor rgb="FF1D9E75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/>
      <right style="thin">
        <color rgb="FFD3D1C7"/>
      </right>
      <top style="thin">
        <color rgb="FFD3D1C7"/>
      </top>
      <bottom style="thin">
        <color rgb="FFD3D1C7"/>
      </bottom>
      <diagonal/>
    </border>
    <border>
      <left/>
      <right/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/>
      <bottom style="thin">
        <color rgb="FFD3D1C7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5" fillId="0" borderId="2" xfId="0" applyFont="1" applyBorder="1" applyAlignment="1">
      <alignment horizontal="center" vertical="center" wrapText="1"/>
    </xf>
    <xf numFmtId="166" fontId="3" fillId="0" borderId="2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6" fillId="0" borderId="1" xfId="0" applyFont="1" applyBorder="1" applyAlignment="1">
      <alignment horizontal="center" vertical="center"/>
    </xf>
    <xf numFmtId="0" fontId="0" fillId="0" borderId="3" xfId="0" applyBorder="1"/>
    <xf numFmtId="0" fontId="17" fillId="0" borderId="1" xfId="0" applyFont="1" applyBorder="1" applyAlignment="1">
      <alignment horizontal="left" vertical="center"/>
    </xf>
    <xf numFmtId="0" fontId="15" fillId="0" borderId="1" xfId="0" applyFont="1" applyBorder="1"/>
    <xf numFmtId="167" fontId="0" fillId="0" borderId="1" xfId="0" applyNumberFormat="1" applyBorder="1"/>
    <xf numFmtId="0" fontId="24" fillId="11" borderId="4" xfId="0" applyFont="1" applyFill="1" applyBorder="1" applyAlignment="1">
      <alignment horizontal="center" vertical="center"/>
    </xf>
    <xf numFmtId="0" fontId="33" fillId="7" borderId="4" xfId="0" applyFont="1" applyFill="1" applyBorder="1" applyAlignment="1">
      <alignment horizontal="center" vertical="center"/>
    </xf>
    <xf numFmtId="0" fontId="33" fillId="7" borderId="4" xfId="0" applyFont="1" applyFill="1" applyBorder="1" applyAlignment="1">
      <alignment horizontal="left" vertical="center" wrapText="1"/>
    </xf>
    <xf numFmtId="0" fontId="33" fillId="9" borderId="4" xfId="0" applyFont="1" applyFill="1" applyBorder="1" applyAlignment="1">
      <alignment horizontal="center" vertical="center"/>
    </xf>
    <xf numFmtId="0" fontId="33" fillId="9" borderId="4" xfId="0" applyFont="1" applyFill="1" applyBorder="1" applyAlignment="1">
      <alignment horizontal="left" vertical="center" wrapText="1"/>
    </xf>
    <xf numFmtId="0" fontId="26" fillId="12" borderId="4" xfId="0" applyFont="1" applyFill="1" applyBorder="1" applyAlignment="1">
      <alignment horizontal="center" vertical="center"/>
    </xf>
    <xf numFmtId="0" fontId="28" fillId="13" borderId="4" xfId="0" applyFont="1" applyFill="1" applyBorder="1" applyAlignment="1">
      <alignment horizontal="center" vertical="center"/>
    </xf>
    <xf numFmtId="0" fontId="30" fillId="14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left" vertical="center" wrapText="1"/>
    </xf>
    <xf numFmtId="164" fontId="3" fillId="9" borderId="4" xfId="0" applyNumberFormat="1" applyFont="1" applyFill="1" applyBorder="1" applyAlignment="1">
      <alignment horizontal="left" vertical="center" wrapText="1"/>
    </xf>
    <xf numFmtId="1" fontId="3" fillId="9" borderId="4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66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7" borderId="4" xfId="0" applyFont="1" applyFill="1" applyBorder="1" applyAlignment="1">
      <alignment horizontal="left" vertical="center" wrapText="1"/>
    </xf>
    <xf numFmtId="164" fontId="3" fillId="7" borderId="4" xfId="0" applyNumberFormat="1" applyFont="1" applyFill="1" applyBorder="1" applyAlignment="1">
      <alignment horizontal="left" vertical="center" wrapText="1"/>
    </xf>
    <xf numFmtId="15" fontId="3" fillId="9" borderId="4" xfId="0" applyNumberFormat="1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left" vertical="center" wrapText="1"/>
    </xf>
    <xf numFmtId="164" fontId="3" fillId="7" borderId="2" xfId="0" applyNumberFormat="1" applyFont="1" applyFill="1" applyBorder="1" applyAlignment="1">
      <alignment horizontal="left" vertical="center" wrapText="1"/>
    </xf>
    <xf numFmtId="1" fontId="3" fillId="0" borderId="4" xfId="0" applyNumberFormat="1" applyFon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center" vertical="center" wrapText="1"/>
    </xf>
    <xf numFmtId="1" fontId="3" fillId="9" borderId="4" xfId="0" applyNumberFormat="1" applyFont="1" applyFill="1" applyBorder="1" applyAlignment="1">
      <alignment horizontal="left" vertical="center" wrapText="1"/>
    </xf>
    <xf numFmtId="0" fontId="2" fillId="18" borderId="4" xfId="0" applyFont="1" applyFill="1" applyBorder="1" applyAlignment="1">
      <alignment horizontal="center" vertical="center" wrapText="1"/>
    </xf>
    <xf numFmtId="165" fontId="3" fillId="9" borderId="4" xfId="0" applyNumberFormat="1" applyFont="1" applyFill="1" applyBorder="1" applyAlignment="1">
      <alignment horizontal="left" vertical="center" wrapText="1"/>
    </xf>
    <xf numFmtId="165" fontId="3" fillId="7" borderId="4" xfId="0" applyNumberFormat="1" applyFont="1" applyFill="1" applyBorder="1" applyAlignment="1">
      <alignment horizontal="left" vertical="center" wrapText="1"/>
    </xf>
    <xf numFmtId="165" fontId="3" fillId="7" borderId="2" xfId="0" applyNumberFormat="1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 wrapText="1"/>
    </xf>
    <xf numFmtId="9" fontId="3" fillId="9" borderId="4" xfId="0" applyNumberFormat="1" applyFont="1" applyFill="1" applyBorder="1" applyAlignment="1">
      <alignment horizontal="left" vertical="center" wrapText="1"/>
    </xf>
    <xf numFmtId="9" fontId="3" fillId="7" borderId="4" xfId="0" applyNumberFormat="1" applyFont="1" applyFill="1" applyBorder="1" applyAlignment="1">
      <alignment horizontal="left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12" fillId="13" borderId="4" xfId="0" applyFont="1" applyFill="1" applyBorder="1" applyAlignment="1">
      <alignment horizontal="left" vertical="center" wrapText="1"/>
    </xf>
    <xf numFmtId="0" fontId="13" fillId="6" borderId="4" xfId="0" applyFont="1" applyFill="1" applyBorder="1" applyAlignment="1">
      <alignment horizontal="left" vertical="center" wrapText="1"/>
    </xf>
    <xf numFmtId="164" fontId="3" fillId="7" borderId="1" xfId="0" applyNumberFormat="1" applyFont="1" applyFill="1" applyBorder="1" applyAlignment="1">
      <alignment horizontal="left" vertical="center" wrapText="1"/>
    </xf>
    <xf numFmtId="1" fontId="3" fillId="9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wrapText="1"/>
    </xf>
    <xf numFmtId="164" fontId="3" fillId="9" borderId="1" xfId="0" applyNumberFormat="1" applyFont="1" applyFill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34" fillId="0" borderId="1" xfId="0" applyFont="1" applyBorder="1" applyAlignment="1">
      <alignment wrapText="1"/>
    </xf>
    <xf numFmtId="15" fontId="0" fillId="0" borderId="1" xfId="0" applyNumberFormat="1" applyBorder="1"/>
    <xf numFmtId="0" fontId="3" fillId="9" borderId="2" xfId="0" applyFont="1" applyFill="1" applyBorder="1" applyAlignment="1">
      <alignment horizontal="left" vertical="center" wrapText="1"/>
    </xf>
    <xf numFmtId="0" fontId="15" fillId="0" borderId="3" xfId="0" applyFont="1" applyBorder="1" applyAlignment="1">
      <alignment horizontal="center" vertical="center" wrapText="1"/>
    </xf>
    <xf numFmtId="164" fontId="3" fillId="9" borderId="2" xfId="0" applyNumberFormat="1" applyFont="1" applyFill="1" applyBorder="1" applyAlignment="1">
      <alignment horizontal="left" vertical="center" wrapText="1"/>
    </xf>
    <xf numFmtId="1" fontId="3" fillId="9" borderId="2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22" fontId="0" fillId="0" borderId="1" xfId="0" applyNumberFormat="1" applyBorder="1"/>
    <xf numFmtId="164" fontId="3" fillId="7" borderId="3" xfId="0" applyNumberFormat="1" applyFont="1" applyFill="1" applyBorder="1" applyAlignment="1">
      <alignment horizontal="left" vertical="center" wrapText="1"/>
    </xf>
    <xf numFmtId="1" fontId="3" fillId="0" borderId="3" xfId="0" applyNumberFormat="1" applyFont="1" applyBorder="1" applyAlignment="1">
      <alignment horizontal="center" vertical="center" wrapText="1"/>
    </xf>
    <xf numFmtId="167" fontId="0" fillId="0" borderId="3" xfId="0" applyNumberFormat="1" applyBorder="1"/>
    <xf numFmtId="166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0" fillId="0" borderId="3" xfId="0" applyBorder="1" applyAlignment="1">
      <alignment wrapText="1"/>
    </xf>
    <xf numFmtId="22" fontId="0" fillId="0" borderId="3" xfId="0" applyNumberFormat="1" applyBorder="1"/>
    <xf numFmtId="0" fontId="0" fillId="0" borderId="1" xfId="0" applyBorder="1" applyAlignment="1">
      <alignment horizontal="center" vertical="center"/>
    </xf>
    <xf numFmtId="0" fontId="3" fillId="7" borderId="7" xfId="0" applyFont="1" applyFill="1" applyBorder="1" applyAlignment="1">
      <alignment horizontal="left" vertical="center" wrapText="1"/>
    </xf>
    <xf numFmtId="164" fontId="3" fillId="7" borderId="7" xfId="0" applyNumberFormat="1" applyFont="1" applyFill="1" applyBorder="1" applyAlignment="1">
      <alignment horizontal="left" vertical="center" wrapText="1"/>
    </xf>
    <xf numFmtId="1" fontId="3" fillId="9" borderId="7" xfId="0" applyNumberFormat="1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166" fontId="3" fillId="0" borderId="7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14" fontId="0" fillId="0" borderId="1" xfId="0" applyNumberFormat="1" applyBorder="1"/>
    <xf numFmtId="0" fontId="1" fillId="10" borderId="0" xfId="0" applyFont="1" applyFill="1" applyAlignment="1">
      <alignment horizontal="center" vertical="center" wrapText="1"/>
    </xf>
    <xf numFmtId="0" fontId="29" fillId="14" borderId="4" xfId="0" applyFont="1" applyFill="1" applyBorder="1" applyAlignment="1">
      <alignment horizontal="center" vertical="center"/>
    </xf>
    <xf numFmtId="0" fontId="18" fillId="11" borderId="4" xfId="0" applyFont="1" applyFill="1" applyBorder="1" applyAlignment="1">
      <alignment horizontal="center" vertical="center" wrapText="1"/>
    </xf>
    <xf numFmtId="0" fontId="19" fillId="12" borderId="4" xfId="0" applyFont="1" applyFill="1" applyBorder="1" applyAlignment="1">
      <alignment horizontal="center" vertical="center" wrapText="1"/>
    </xf>
    <xf numFmtId="0" fontId="21" fillId="14" borderId="4" xfId="0" applyFont="1" applyFill="1" applyBorder="1" applyAlignment="1">
      <alignment horizontal="center" vertical="center" wrapText="1"/>
    </xf>
    <xf numFmtId="0" fontId="20" fillId="13" borderId="4" xfId="0" applyFont="1" applyFill="1" applyBorder="1" applyAlignment="1">
      <alignment horizontal="center" vertical="center" wrapText="1"/>
    </xf>
    <xf numFmtId="0" fontId="22" fillId="7" borderId="4" xfId="0" applyFont="1" applyFill="1" applyBorder="1" applyAlignment="1">
      <alignment horizontal="center" vertical="center" wrapText="1"/>
    </xf>
    <xf numFmtId="0" fontId="27" fillId="13" borderId="4" xfId="0" applyFont="1" applyFill="1" applyBorder="1" applyAlignment="1">
      <alignment horizontal="center" vertical="center"/>
    </xf>
    <xf numFmtId="0" fontId="25" fillId="12" borderId="4" xfId="0" applyFont="1" applyFill="1" applyBorder="1" applyAlignment="1">
      <alignment horizontal="center" vertical="center"/>
    </xf>
    <xf numFmtId="0" fontId="23" fillId="11" borderId="4" xfId="0" applyFont="1" applyFill="1" applyBorder="1" applyAlignment="1">
      <alignment horizontal="center" vertical="center"/>
    </xf>
    <xf numFmtId="0" fontId="4" fillId="10" borderId="0" xfId="0" applyFont="1" applyFill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left" vertical="center" wrapText="1"/>
    </xf>
    <xf numFmtId="0" fontId="2" fillId="15" borderId="4" xfId="0" applyFont="1" applyFill="1" applyBorder="1" applyAlignment="1">
      <alignment horizontal="center" vertical="center" wrapText="1"/>
    </xf>
    <xf numFmtId="0" fontId="31" fillId="17" borderId="4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left" vertical="center" wrapText="1"/>
    </xf>
    <xf numFmtId="0" fontId="31" fillId="18" borderId="4" xfId="0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2" fillId="18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31" fillId="15" borderId="4" xfId="0" applyFont="1" applyFill="1" applyBorder="1" applyAlignment="1">
      <alignment horizontal="center" vertical="center" wrapText="1"/>
    </xf>
    <xf numFmtId="0" fontId="31" fillId="16" borderId="4" xfId="0" applyFont="1" applyFill="1" applyBorder="1" applyAlignment="1">
      <alignment horizontal="center" vertical="center" wrapText="1"/>
    </xf>
    <xf numFmtId="0" fontId="6" fillId="10" borderId="0" xfId="0" applyFont="1" applyFill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32" fillId="11" borderId="4" xfId="0" applyFont="1" applyFill="1" applyBorder="1" applyAlignment="1">
      <alignment horizontal="left" vertical="center" wrapText="1"/>
    </xf>
    <xf numFmtId="1" fontId="7" fillId="9" borderId="4" xfId="0" applyNumberFormat="1" applyFont="1" applyFill="1" applyBorder="1" applyAlignment="1">
      <alignment horizontal="center" vertical="center" wrapText="1"/>
    </xf>
    <xf numFmtId="0" fontId="10" fillId="10" borderId="0" xfId="0" applyFont="1" applyFill="1" applyAlignment="1">
      <alignment horizontal="center" vertical="center" wrapText="1"/>
    </xf>
    <xf numFmtId="0" fontId="0" fillId="0" borderId="0" xfId="0" applyAlignment="1"/>
    <xf numFmtId="0" fontId="0" fillId="0" borderId="5" xfId="0" applyBorder="1" applyAlignment="1"/>
    <xf numFmtId="0" fontId="0" fillId="0" borderId="6" xfId="0" applyBorder="1" applyAlignment="1"/>
  </cellXfs>
  <cellStyles count="1">
    <cellStyle name="Normal" xfId="0" builtinId="0"/>
  </cellStyles>
  <dxfs count="239">
    <dxf>
      <font>
        <b/>
        <sz val="10"/>
        <color rgb="FF1D9E75"/>
        <name val="Arial"/>
      </font>
      <fill>
        <patternFill patternType="solid">
          <fgColor rgb="FFE1F5EE"/>
        </patternFill>
      </fill>
    </dxf>
    <dxf>
      <font>
        <b/>
        <sz val="10"/>
        <color rgb="FFE8590C"/>
        <name val="Arial"/>
      </font>
      <fill>
        <patternFill patternType="solid">
          <fgColor rgb="FFFAEEDA"/>
        </patternFill>
      </fill>
    </dxf>
    <dxf>
      <font>
        <b/>
        <sz val="10"/>
        <color rgb="FFE24B4A"/>
        <name val="Arial"/>
      </font>
      <fill>
        <patternFill patternType="solid">
          <fgColor rgb="FFFCEBEB"/>
        </patternFill>
      </fill>
    </dxf>
    <dxf>
      <font>
        <b/>
        <sz val="10"/>
        <color rgb="FF7B1F1F"/>
        <name val="Arial"/>
      </font>
      <fill>
        <patternFill patternType="solid">
          <fgColor rgb="FFF5E0E0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b/>
        <color rgb="FF2E5FA3"/>
        <name val="Arial"/>
      </font>
      <fill>
        <patternFill patternType="solid">
          <fgColor rgb="FFE3F2FD"/>
        </patternFill>
      </fill>
    </dxf>
    <dxf>
      <font>
        <b/>
        <color rgb="FF2E7D32"/>
        <name val="Arial"/>
      </font>
      <fill>
        <patternFill patternType="solid">
          <fgColor rgb="FFE8F4E8"/>
        </patternFill>
      </fill>
    </dxf>
    <dxf>
      <font>
        <b/>
        <color rgb="FFE8590C"/>
        <name val="Arial"/>
      </font>
      <fill>
        <patternFill patternType="solid">
          <fgColor rgb="FFFDEBD0"/>
        </patternFill>
      </fill>
    </dxf>
    <dxf>
      <font>
        <b/>
        <color rgb="FF2E5FA3"/>
        <name val="Arial"/>
      </font>
      <fill>
        <patternFill patternType="solid">
          <fgColor rgb="FFD6E4F7"/>
        </patternFill>
      </fill>
    </dxf>
    <dxf>
      <font>
        <b/>
        <color rgb="FFF59E0B"/>
        <name val="Arial"/>
      </font>
      <fill>
        <patternFill patternType="solid">
          <fgColor rgb="FFFAEEDA"/>
        </patternFill>
      </fill>
    </dxf>
    <dxf>
      <font>
        <b/>
        <color rgb="FF1D9E75"/>
        <name val="Arial"/>
      </font>
      <fill>
        <patternFill patternType="solid">
          <fgColor rgb="FFE1F5EE"/>
        </patternFill>
      </fill>
    </dxf>
    <dxf>
      <font>
        <b/>
        <color rgb="FF2E5FA3"/>
      </font>
      <fill>
        <patternFill patternType="solid">
          <fgColor rgb="FFD6E4F7"/>
        </patternFill>
      </fill>
    </dxf>
    <dxf>
      <font>
        <b/>
        <color rgb="FFF59E0B"/>
      </font>
      <fill>
        <patternFill patternType="solid">
          <fgColor rgb="FFFAEEDA"/>
        </patternFill>
      </fill>
    </dxf>
    <dxf>
      <font>
        <b/>
        <color rgb="FF1D9E75"/>
      </font>
      <fill>
        <patternFill patternType="solid">
          <fgColor rgb="FFE1F5EE"/>
        </patternFill>
      </fill>
    </dxf>
    <dxf>
      <font>
        <color rgb="FF1D9E75"/>
        <name val="Arial"/>
      </font>
      <fill>
        <patternFill patternType="solid">
          <fgColor rgb="FFE1F5EE"/>
        </patternFill>
      </fill>
    </dxf>
    <dxf>
      <font>
        <b/>
        <color rgb="FFE8590C"/>
        <name val="Arial"/>
      </font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B1F1F"/>
        <name val="Arial"/>
      </font>
      <fill>
        <patternFill patternType="solid">
          <fgColor rgb="FFF5E0E0"/>
        </patternFill>
      </fill>
    </dxf>
    <dxf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ill>
        <patternFill patternType="solid">
          <fgColor rgb="FFFAEEDA"/>
        </patternFill>
      </fill>
    </dxf>
    <dxf>
      <font>
        <b/>
        <color rgb="FFE24B4A"/>
      </font>
      <fill>
        <patternFill patternType="solid">
          <fgColor rgb="FFFCEBEB"/>
        </patternFill>
      </fill>
    </dxf>
    <dxf>
      <font>
        <b/>
        <sz val="10"/>
        <color rgb="FF1D9E75"/>
        <name val="Arial"/>
      </font>
      <fill>
        <patternFill patternType="solid">
          <fgColor rgb="FFE1F5EE"/>
        </patternFill>
      </fill>
    </dxf>
    <dxf>
      <font>
        <b/>
        <sz val="10"/>
        <color rgb="FFE8590C"/>
        <name val="Arial"/>
      </font>
      <fill>
        <patternFill patternType="solid">
          <fgColor rgb="FFFAEEDA"/>
        </patternFill>
      </fill>
    </dxf>
    <dxf>
      <font>
        <b/>
        <sz val="10"/>
        <color rgb="FFE24B4A"/>
        <name val="Arial"/>
      </font>
      <fill>
        <patternFill patternType="solid">
          <fgColor rgb="FFFCEBEB"/>
        </patternFill>
      </fill>
    </dxf>
    <dxf>
      <font>
        <b/>
        <sz val="10"/>
        <color rgb="FF7B1F1F"/>
        <name val="Arial"/>
      </font>
      <fill>
        <patternFill patternType="solid">
          <fgColor rgb="FFF5E0E0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b/>
        <color rgb="FF2E5FA3"/>
        <name val="Arial"/>
      </font>
      <fill>
        <patternFill patternType="solid">
          <fgColor rgb="FFE3F2FD"/>
        </patternFill>
      </fill>
    </dxf>
    <dxf>
      <font>
        <b/>
        <color rgb="FF2E7D32"/>
        <name val="Arial"/>
      </font>
      <fill>
        <patternFill patternType="solid">
          <fgColor rgb="FFE8F4E8"/>
        </patternFill>
      </fill>
    </dxf>
    <dxf>
      <font>
        <b/>
        <color rgb="FFE8590C"/>
        <name val="Arial"/>
      </font>
      <fill>
        <patternFill patternType="solid">
          <fgColor rgb="FFFDEBD0"/>
        </patternFill>
      </fill>
    </dxf>
    <dxf>
      <font>
        <b/>
        <color rgb="FF2E5FA3"/>
        <name val="Arial"/>
      </font>
      <fill>
        <patternFill patternType="solid">
          <fgColor rgb="FFD6E4F7"/>
        </patternFill>
      </fill>
    </dxf>
    <dxf>
      <font>
        <b/>
        <color rgb="FFF59E0B"/>
        <name val="Arial"/>
      </font>
      <fill>
        <patternFill patternType="solid">
          <fgColor rgb="FFFAEEDA"/>
        </patternFill>
      </fill>
    </dxf>
    <dxf>
      <font>
        <b/>
        <color rgb="FF1D9E75"/>
        <name val="Arial"/>
      </font>
      <fill>
        <patternFill patternType="solid">
          <fgColor rgb="FFE1F5EE"/>
        </patternFill>
      </fill>
    </dxf>
    <dxf>
      <font>
        <b/>
        <color rgb="FF2E5FA3"/>
      </font>
      <fill>
        <patternFill patternType="solid">
          <fgColor rgb="FFD6E4F7"/>
        </patternFill>
      </fill>
    </dxf>
    <dxf>
      <font>
        <b/>
        <color rgb="FFF59E0B"/>
      </font>
      <fill>
        <patternFill patternType="solid">
          <fgColor rgb="FFFAEEDA"/>
        </patternFill>
      </fill>
    </dxf>
    <dxf>
      <font>
        <b/>
        <color rgb="FF1D9E75"/>
      </font>
      <fill>
        <patternFill patternType="solid">
          <fgColor rgb="FFE1F5EE"/>
        </patternFill>
      </fill>
    </dxf>
    <dxf>
      <font>
        <color rgb="FF1D9E75"/>
        <name val="Arial"/>
      </font>
      <fill>
        <patternFill patternType="solid">
          <fgColor rgb="FFE1F5EE"/>
        </patternFill>
      </fill>
    </dxf>
    <dxf>
      <font>
        <b/>
        <color rgb="FFE8590C"/>
        <name val="Arial"/>
      </font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B1F1F"/>
        <name val="Arial"/>
      </font>
      <fill>
        <patternFill patternType="solid">
          <fgColor rgb="FFF5E0E0"/>
        </patternFill>
      </fill>
    </dxf>
    <dxf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ill>
        <patternFill patternType="solid">
          <fgColor rgb="FFFAEEDA"/>
        </patternFill>
      </fill>
    </dxf>
    <dxf>
      <font>
        <b/>
        <color rgb="FFE24B4A"/>
      </font>
      <fill>
        <patternFill patternType="solid">
          <fgColor rgb="FFFCEBEB"/>
        </patternFill>
      </fill>
    </dxf>
    <dxf>
      <font>
        <b/>
        <sz val="10"/>
        <color rgb="FF1D9E75"/>
        <name val="Arial"/>
      </font>
      <fill>
        <patternFill patternType="solid">
          <fgColor rgb="FFE1F5EE"/>
        </patternFill>
      </fill>
    </dxf>
    <dxf>
      <font>
        <b/>
        <sz val="10"/>
        <color rgb="FFE8590C"/>
        <name val="Arial"/>
      </font>
      <fill>
        <patternFill patternType="solid">
          <fgColor rgb="FFFAEEDA"/>
        </patternFill>
      </fill>
    </dxf>
    <dxf>
      <font>
        <b/>
        <sz val="10"/>
        <color rgb="FFE24B4A"/>
        <name val="Arial"/>
      </font>
      <fill>
        <patternFill patternType="solid">
          <fgColor rgb="FFFCEBEB"/>
        </patternFill>
      </fill>
    </dxf>
    <dxf>
      <font>
        <b/>
        <sz val="10"/>
        <color rgb="FF7B1F1F"/>
        <name val="Arial"/>
      </font>
      <fill>
        <patternFill patternType="solid">
          <fgColor rgb="FFF5E0E0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b/>
        <color rgb="FF2E5FA3"/>
        <name val="Arial"/>
      </font>
      <fill>
        <patternFill patternType="solid">
          <fgColor rgb="FFE3F2FD"/>
        </patternFill>
      </fill>
    </dxf>
    <dxf>
      <font>
        <b/>
        <color rgb="FF2E7D32"/>
        <name val="Arial"/>
      </font>
      <fill>
        <patternFill patternType="solid">
          <fgColor rgb="FFE8F4E8"/>
        </patternFill>
      </fill>
    </dxf>
    <dxf>
      <font>
        <b/>
        <color rgb="FFE8590C"/>
        <name val="Arial"/>
      </font>
      <fill>
        <patternFill patternType="solid">
          <fgColor rgb="FFFDEBD0"/>
        </patternFill>
      </fill>
    </dxf>
    <dxf>
      <font>
        <b/>
        <color rgb="FF2E5FA3"/>
        <name val="Arial"/>
      </font>
      <fill>
        <patternFill patternType="solid">
          <fgColor rgb="FFD6E4F7"/>
        </patternFill>
      </fill>
    </dxf>
    <dxf>
      <font>
        <b/>
        <color rgb="FFF59E0B"/>
        <name val="Arial"/>
      </font>
      <fill>
        <patternFill patternType="solid">
          <fgColor rgb="FFFAEEDA"/>
        </patternFill>
      </fill>
    </dxf>
    <dxf>
      <font>
        <b/>
        <color rgb="FF1D9E75"/>
        <name val="Arial"/>
      </font>
      <fill>
        <patternFill patternType="solid">
          <fgColor rgb="FFE1F5EE"/>
        </patternFill>
      </fill>
    </dxf>
    <dxf>
      <font>
        <b/>
        <color rgb="FF2E5FA3"/>
      </font>
      <fill>
        <patternFill patternType="solid">
          <fgColor rgb="FFD6E4F7"/>
        </patternFill>
      </fill>
    </dxf>
    <dxf>
      <font>
        <b/>
        <color rgb="FFF59E0B"/>
      </font>
      <fill>
        <patternFill patternType="solid">
          <fgColor rgb="FFFAEEDA"/>
        </patternFill>
      </fill>
    </dxf>
    <dxf>
      <font>
        <b/>
        <color rgb="FF1D9E75"/>
      </font>
      <fill>
        <patternFill patternType="solid">
          <fgColor rgb="FFE1F5EE"/>
        </patternFill>
      </fill>
    </dxf>
    <dxf>
      <font>
        <color rgb="FF1D9E75"/>
        <name val="Arial"/>
      </font>
      <fill>
        <patternFill patternType="solid">
          <fgColor rgb="FFE1F5EE"/>
        </patternFill>
      </fill>
    </dxf>
    <dxf>
      <font>
        <b/>
        <color rgb="FFE8590C"/>
        <name val="Arial"/>
      </font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B1F1F"/>
        <name val="Arial"/>
      </font>
      <fill>
        <patternFill patternType="solid">
          <fgColor rgb="FFF5E0E0"/>
        </patternFill>
      </fill>
    </dxf>
    <dxf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ill>
        <patternFill patternType="solid">
          <fgColor rgb="FFFAEEDA"/>
        </patternFill>
      </fill>
    </dxf>
    <dxf>
      <font>
        <b/>
        <color rgb="FFE24B4A"/>
      </font>
      <fill>
        <patternFill patternType="solid">
          <fgColor rgb="FFFCEBEB"/>
        </patternFill>
      </fill>
    </dxf>
    <dxf>
      <font>
        <b/>
        <sz val="10"/>
        <color rgb="FF1D9E75"/>
        <name val="Arial"/>
      </font>
      <fill>
        <patternFill patternType="solid">
          <fgColor rgb="FFE1F5EE"/>
        </patternFill>
      </fill>
    </dxf>
    <dxf>
      <font>
        <b/>
        <sz val="10"/>
        <color rgb="FFE8590C"/>
        <name val="Arial"/>
      </font>
      <fill>
        <patternFill patternType="solid">
          <fgColor rgb="FFFAEEDA"/>
        </patternFill>
      </fill>
    </dxf>
    <dxf>
      <font>
        <b/>
        <sz val="10"/>
        <color rgb="FFE24B4A"/>
        <name val="Arial"/>
      </font>
      <fill>
        <patternFill patternType="solid">
          <fgColor rgb="FFFCEBEB"/>
        </patternFill>
      </fill>
    </dxf>
    <dxf>
      <font>
        <b/>
        <sz val="10"/>
        <color rgb="FF7B1F1F"/>
        <name val="Arial"/>
      </font>
      <fill>
        <patternFill patternType="solid">
          <fgColor rgb="FFF5E0E0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b/>
        <color rgb="FF2E5FA3"/>
        <name val="Arial"/>
      </font>
      <fill>
        <patternFill patternType="solid">
          <fgColor rgb="FFE3F2FD"/>
        </patternFill>
      </fill>
    </dxf>
    <dxf>
      <font>
        <b/>
        <color rgb="FF2E7D32"/>
        <name val="Arial"/>
      </font>
      <fill>
        <patternFill patternType="solid">
          <fgColor rgb="FFE8F4E8"/>
        </patternFill>
      </fill>
    </dxf>
    <dxf>
      <font>
        <b/>
        <color rgb="FFE8590C"/>
        <name val="Arial"/>
      </font>
      <fill>
        <patternFill patternType="solid">
          <fgColor rgb="FFFDEBD0"/>
        </patternFill>
      </fill>
    </dxf>
    <dxf>
      <font>
        <b/>
        <color rgb="FF2E5FA3"/>
        <name val="Arial"/>
      </font>
      <fill>
        <patternFill patternType="solid">
          <fgColor rgb="FFD6E4F7"/>
        </patternFill>
      </fill>
    </dxf>
    <dxf>
      <font>
        <b/>
        <color rgb="FFF59E0B"/>
        <name val="Arial"/>
      </font>
      <fill>
        <patternFill patternType="solid">
          <fgColor rgb="FFFAEEDA"/>
        </patternFill>
      </fill>
    </dxf>
    <dxf>
      <font>
        <b/>
        <color rgb="FF1D9E75"/>
        <name val="Arial"/>
      </font>
      <fill>
        <patternFill patternType="solid">
          <fgColor rgb="FFE1F5EE"/>
        </patternFill>
      </fill>
    </dxf>
    <dxf>
      <font>
        <b/>
        <color rgb="FF2E5FA3"/>
      </font>
      <fill>
        <patternFill patternType="solid">
          <fgColor rgb="FFD6E4F7"/>
        </patternFill>
      </fill>
    </dxf>
    <dxf>
      <font>
        <b/>
        <color rgb="FFF59E0B"/>
      </font>
      <fill>
        <patternFill patternType="solid">
          <fgColor rgb="FFFAEEDA"/>
        </patternFill>
      </fill>
    </dxf>
    <dxf>
      <font>
        <b/>
        <color rgb="FF1D9E75"/>
      </font>
      <fill>
        <patternFill patternType="solid">
          <fgColor rgb="FFE1F5EE"/>
        </patternFill>
      </fill>
    </dxf>
    <dxf>
      <font>
        <color rgb="FF1D9E75"/>
        <name val="Arial"/>
      </font>
      <fill>
        <patternFill patternType="solid">
          <fgColor rgb="FFE1F5EE"/>
        </patternFill>
      </fill>
    </dxf>
    <dxf>
      <font>
        <b/>
        <color rgb="FFE8590C"/>
        <name val="Arial"/>
      </font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B1F1F"/>
        <name val="Arial"/>
      </font>
      <fill>
        <patternFill patternType="solid">
          <fgColor rgb="FFF5E0E0"/>
        </patternFill>
      </fill>
    </dxf>
    <dxf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ill>
        <patternFill patternType="solid">
          <fgColor rgb="FFFAEEDA"/>
        </patternFill>
      </fill>
    </dxf>
    <dxf>
      <font>
        <b/>
        <color rgb="FFE24B4A"/>
      </font>
      <fill>
        <patternFill patternType="solid">
          <fgColor rgb="FFFCEBEB"/>
        </patternFill>
      </fill>
    </dxf>
    <dxf>
      <font>
        <b/>
        <sz val="10"/>
        <color rgb="FF1D9E75"/>
        <name val="Arial"/>
      </font>
      <fill>
        <patternFill patternType="solid">
          <fgColor rgb="FFE1F5EE"/>
        </patternFill>
      </fill>
    </dxf>
    <dxf>
      <font>
        <b/>
        <sz val="10"/>
        <color rgb="FFE8590C"/>
        <name val="Arial"/>
      </font>
      <fill>
        <patternFill patternType="solid">
          <fgColor rgb="FFFAEEDA"/>
        </patternFill>
      </fill>
    </dxf>
    <dxf>
      <font>
        <b/>
        <sz val="10"/>
        <color rgb="FFE24B4A"/>
        <name val="Arial"/>
      </font>
      <fill>
        <patternFill patternType="solid">
          <fgColor rgb="FFFCEBEB"/>
        </patternFill>
      </fill>
    </dxf>
    <dxf>
      <font>
        <b/>
        <sz val="10"/>
        <color rgb="FF7B1F1F"/>
        <name val="Arial"/>
      </font>
      <fill>
        <patternFill patternType="solid">
          <fgColor rgb="FFF5E0E0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b/>
        <color rgb="FF2E5FA3"/>
        <name val="Arial"/>
      </font>
      <fill>
        <patternFill patternType="solid">
          <fgColor rgb="FFE3F2FD"/>
        </patternFill>
      </fill>
    </dxf>
    <dxf>
      <font>
        <b/>
        <color rgb="FF2E7D32"/>
        <name val="Arial"/>
      </font>
      <fill>
        <patternFill patternType="solid">
          <fgColor rgb="FFE8F4E8"/>
        </patternFill>
      </fill>
    </dxf>
    <dxf>
      <font>
        <b/>
        <color rgb="FFE8590C"/>
        <name val="Arial"/>
      </font>
      <fill>
        <patternFill patternType="solid">
          <fgColor rgb="FFFDEBD0"/>
        </patternFill>
      </fill>
    </dxf>
    <dxf>
      <font>
        <b/>
        <color rgb="FF2E5FA3"/>
        <name val="Arial"/>
      </font>
      <fill>
        <patternFill patternType="solid">
          <fgColor rgb="FFD6E4F7"/>
        </patternFill>
      </fill>
    </dxf>
    <dxf>
      <font>
        <b/>
        <color rgb="FFF59E0B"/>
        <name val="Arial"/>
      </font>
      <fill>
        <patternFill patternType="solid">
          <fgColor rgb="FFFAEEDA"/>
        </patternFill>
      </fill>
    </dxf>
    <dxf>
      <font>
        <b/>
        <color rgb="FF1D9E75"/>
        <name val="Arial"/>
      </font>
      <fill>
        <patternFill patternType="solid">
          <fgColor rgb="FFE1F5EE"/>
        </patternFill>
      </fill>
    </dxf>
    <dxf>
      <font>
        <b/>
        <color rgb="FF2E5FA3"/>
      </font>
      <fill>
        <patternFill patternType="solid">
          <fgColor rgb="FFD6E4F7"/>
        </patternFill>
      </fill>
    </dxf>
    <dxf>
      <font>
        <b/>
        <color rgb="FFF59E0B"/>
      </font>
      <fill>
        <patternFill patternType="solid">
          <fgColor rgb="FFFAEEDA"/>
        </patternFill>
      </fill>
    </dxf>
    <dxf>
      <font>
        <b/>
        <color rgb="FF1D9E75"/>
      </font>
      <fill>
        <patternFill patternType="solid">
          <fgColor rgb="FFE1F5EE"/>
        </patternFill>
      </fill>
    </dxf>
    <dxf>
      <font>
        <color rgb="FF1D9E75"/>
        <name val="Arial"/>
      </font>
      <fill>
        <patternFill patternType="solid">
          <fgColor rgb="FFE1F5EE"/>
        </patternFill>
      </fill>
    </dxf>
    <dxf>
      <font>
        <b/>
        <color rgb="FFE8590C"/>
        <name val="Arial"/>
      </font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B1F1F"/>
        <name val="Arial"/>
      </font>
      <fill>
        <patternFill patternType="solid">
          <fgColor rgb="FFF5E0E0"/>
        </patternFill>
      </fill>
    </dxf>
    <dxf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ill>
        <patternFill patternType="solid">
          <fgColor rgb="FFFAEEDA"/>
        </patternFill>
      </fill>
    </dxf>
    <dxf>
      <font>
        <b/>
        <color rgb="FFE24B4A"/>
      </font>
      <fill>
        <patternFill patternType="solid">
          <fgColor rgb="FFFCEBEB"/>
        </patternFill>
      </fill>
    </dxf>
    <dxf>
      <font>
        <b/>
        <sz val="10"/>
        <color rgb="FF1D9E75"/>
        <name val="Arial"/>
      </font>
      <fill>
        <patternFill patternType="solid">
          <fgColor rgb="FFE1F5EE"/>
        </patternFill>
      </fill>
    </dxf>
    <dxf>
      <font>
        <b/>
        <sz val="10"/>
        <color rgb="FFE8590C"/>
        <name val="Arial"/>
      </font>
      <fill>
        <patternFill patternType="solid">
          <fgColor rgb="FFFAEEDA"/>
        </patternFill>
      </fill>
    </dxf>
    <dxf>
      <font>
        <b/>
        <sz val="10"/>
        <color rgb="FFE24B4A"/>
        <name val="Arial"/>
      </font>
      <fill>
        <patternFill patternType="solid">
          <fgColor rgb="FFFCEBEB"/>
        </patternFill>
      </fill>
    </dxf>
    <dxf>
      <font>
        <b/>
        <sz val="10"/>
        <color rgb="FF7B1F1F"/>
        <name val="Arial"/>
      </font>
      <fill>
        <patternFill patternType="solid">
          <fgColor rgb="FFF5E0E0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b/>
        <color rgb="FF2E5FA3"/>
        <name val="Arial"/>
      </font>
      <fill>
        <patternFill patternType="solid">
          <fgColor rgb="FFE3F2FD"/>
        </patternFill>
      </fill>
    </dxf>
    <dxf>
      <font>
        <b/>
        <color rgb="FF2E7D32"/>
        <name val="Arial"/>
      </font>
      <fill>
        <patternFill patternType="solid">
          <fgColor rgb="FFE8F4E8"/>
        </patternFill>
      </fill>
    </dxf>
    <dxf>
      <font>
        <b/>
        <color rgb="FFE8590C"/>
        <name val="Arial"/>
      </font>
      <fill>
        <patternFill patternType="solid">
          <fgColor rgb="FFFDEBD0"/>
        </patternFill>
      </fill>
    </dxf>
    <dxf>
      <font>
        <b/>
        <color rgb="FF2E5FA3"/>
        <name val="Arial"/>
      </font>
      <fill>
        <patternFill patternType="solid">
          <fgColor rgb="FFD6E4F7"/>
        </patternFill>
      </fill>
    </dxf>
    <dxf>
      <font>
        <b/>
        <color rgb="FFF59E0B"/>
        <name val="Arial"/>
      </font>
      <fill>
        <patternFill patternType="solid">
          <fgColor rgb="FFFAEEDA"/>
        </patternFill>
      </fill>
    </dxf>
    <dxf>
      <font>
        <b/>
        <color rgb="FF1D9E75"/>
        <name val="Arial"/>
      </font>
      <fill>
        <patternFill patternType="solid">
          <fgColor rgb="FFE1F5EE"/>
        </patternFill>
      </fill>
    </dxf>
    <dxf>
      <font>
        <b/>
        <color rgb="FF2E5FA3"/>
      </font>
      <fill>
        <patternFill patternType="solid">
          <fgColor rgb="FFD6E4F7"/>
        </patternFill>
      </fill>
    </dxf>
    <dxf>
      <font>
        <b/>
        <color rgb="FFF59E0B"/>
      </font>
      <fill>
        <patternFill patternType="solid">
          <fgColor rgb="FFFAEEDA"/>
        </patternFill>
      </fill>
    </dxf>
    <dxf>
      <font>
        <b/>
        <color rgb="FF1D9E75"/>
      </font>
      <fill>
        <patternFill patternType="solid">
          <fgColor rgb="FFE1F5EE"/>
        </patternFill>
      </fill>
    </dxf>
    <dxf>
      <font>
        <color rgb="FF1D9E75"/>
        <name val="Arial"/>
      </font>
      <fill>
        <patternFill patternType="solid">
          <fgColor rgb="FFE1F5EE"/>
        </patternFill>
      </fill>
    </dxf>
    <dxf>
      <font>
        <b/>
        <color rgb="FFE8590C"/>
        <name val="Arial"/>
      </font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B1F1F"/>
        <name val="Arial"/>
      </font>
      <fill>
        <patternFill patternType="solid">
          <fgColor rgb="FFF5E0E0"/>
        </patternFill>
      </fill>
    </dxf>
    <dxf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ill>
        <patternFill patternType="solid">
          <fgColor rgb="FFFAEEDA"/>
        </patternFill>
      </fill>
    </dxf>
    <dxf>
      <font>
        <b/>
        <color rgb="FFE24B4A"/>
      </font>
      <fill>
        <patternFill patternType="solid">
          <fgColor rgb="FFFCEBEB"/>
        </patternFill>
      </fill>
    </dxf>
    <dxf>
      <font>
        <b/>
        <sz val="10"/>
        <color rgb="FF1D9E75"/>
        <name val="Arial"/>
      </font>
      <fill>
        <patternFill patternType="solid">
          <fgColor rgb="FFE1F5EE"/>
        </patternFill>
      </fill>
    </dxf>
    <dxf>
      <font>
        <b/>
        <sz val="10"/>
        <color rgb="FFE8590C"/>
        <name val="Arial"/>
      </font>
      <fill>
        <patternFill patternType="solid">
          <fgColor rgb="FFFAEEDA"/>
        </patternFill>
      </fill>
    </dxf>
    <dxf>
      <font>
        <b/>
        <sz val="10"/>
        <color rgb="FFE24B4A"/>
        <name val="Arial"/>
      </font>
      <fill>
        <patternFill patternType="solid">
          <fgColor rgb="FFFCEBEB"/>
        </patternFill>
      </fill>
    </dxf>
    <dxf>
      <font>
        <b/>
        <sz val="10"/>
        <color rgb="FF7B1F1F"/>
        <name val="Arial"/>
      </font>
      <fill>
        <patternFill patternType="solid">
          <fgColor rgb="FFF5E0E0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b/>
        <color rgb="FF2E5FA3"/>
        <name val="Arial"/>
      </font>
      <fill>
        <patternFill patternType="solid">
          <fgColor rgb="FFE3F2FD"/>
        </patternFill>
      </fill>
    </dxf>
    <dxf>
      <font>
        <b/>
        <color rgb="FF2E7D32"/>
        <name val="Arial"/>
      </font>
      <fill>
        <patternFill patternType="solid">
          <fgColor rgb="FFE8F4E8"/>
        </patternFill>
      </fill>
    </dxf>
    <dxf>
      <font>
        <b/>
        <color rgb="FFE8590C"/>
        <name val="Arial"/>
      </font>
      <fill>
        <patternFill patternType="solid">
          <fgColor rgb="FFFDEBD0"/>
        </patternFill>
      </fill>
    </dxf>
    <dxf>
      <font>
        <b/>
        <color rgb="FF2E5FA3"/>
        <name val="Arial"/>
      </font>
      <fill>
        <patternFill patternType="solid">
          <fgColor rgb="FFD6E4F7"/>
        </patternFill>
      </fill>
    </dxf>
    <dxf>
      <font>
        <b/>
        <color rgb="FFF59E0B"/>
        <name val="Arial"/>
      </font>
      <fill>
        <patternFill patternType="solid">
          <fgColor rgb="FFFAEEDA"/>
        </patternFill>
      </fill>
    </dxf>
    <dxf>
      <font>
        <b/>
        <color rgb="FF1D9E75"/>
        <name val="Arial"/>
      </font>
      <fill>
        <patternFill patternType="solid">
          <fgColor rgb="FFE1F5EE"/>
        </patternFill>
      </fill>
    </dxf>
    <dxf>
      <font>
        <b/>
        <color rgb="FF2E5FA3"/>
      </font>
      <fill>
        <patternFill patternType="solid">
          <fgColor rgb="FFD6E4F7"/>
        </patternFill>
      </fill>
    </dxf>
    <dxf>
      <font>
        <b/>
        <color rgb="FFF59E0B"/>
      </font>
      <fill>
        <patternFill patternType="solid">
          <fgColor rgb="FFFAEEDA"/>
        </patternFill>
      </fill>
    </dxf>
    <dxf>
      <font>
        <b/>
        <color rgb="FF1D9E75"/>
      </font>
      <fill>
        <patternFill patternType="solid">
          <fgColor rgb="FFE1F5EE"/>
        </patternFill>
      </fill>
    </dxf>
    <dxf>
      <font>
        <color rgb="FF1D9E75"/>
        <name val="Arial"/>
      </font>
      <fill>
        <patternFill patternType="solid">
          <fgColor rgb="FFE1F5EE"/>
        </patternFill>
      </fill>
    </dxf>
    <dxf>
      <font>
        <b/>
        <color rgb="FFE8590C"/>
        <name val="Arial"/>
      </font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B1F1F"/>
        <name val="Arial"/>
      </font>
      <fill>
        <patternFill patternType="solid">
          <fgColor rgb="FFF5E0E0"/>
        </patternFill>
      </fill>
    </dxf>
    <dxf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ill>
        <patternFill patternType="solid">
          <fgColor rgb="FFFAEEDA"/>
        </patternFill>
      </fill>
    </dxf>
    <dxf>
      <font>
        <b/>
        <color rgb="FFE24B4A"/>
      </font>
      <fill>
        <patternFill patternType="solid">
          <fgColor rgb="FFFCEBEB"/>
        </patternFill>
      </fill>
    </dxf>
    <dxf>
      <font>
        <b/>
        <color rgb="FFB45309"/>
      </font>
      <fill>
        <patternFill patternType="solid">
          <fgColor rgb="FFFAEEDA"/>
        </patternFill>
      </fill>
    </dxf>
    <dxf>
      <font>
        <b/>
        <color rgb="FFE24B4A"/>
      </font>
      <fill>
        <patternFill patternType="solid">
          <fgColor rgb="FFFCEBEB"/>
        </patternFill>
      </fill>
    </dxf>
    <dxf>
      <font>
        <b/>
        <color rgb="FFB45309"/>
      </font>
      <fill>
        <patternFill patternType="solid">
          <fgColor rgb="FFFAEEDA"/>
        </patternFill>
      </fill>
    </dxf>
    <dxf>
      <font>
        <b/>
        <color rgb="FF1D9E75"/>
      </font>
      <fill>
        <patternFill patternType="solid">
          <fgColor rgb="FFE1F5EE"/>
        </patternFill>
      </fill>
    </dxf>
    <dxf>
      <font>
        <b/>
        <color rgb="FF7B1FA2"/>
        <name val="Arial"/>
      </font>
      <fill>
        <patternFill patternType="solid">
          <fgColor rgb="FFF3E5F5"/>
        </patternFill>
      </fill>
    </dxf>
    <dxf>
      <font>
        <b/>
        <color rgb="FFE8590C"/>
        <name val="Arial"/>
      </font>
      <fill>
        <patternFill patternType="solid">
          <fgColor rgb="FFFDEBD0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1D9E75"/>
        <name val="Arial"/>
      </font>
      <fill>
        <patternFill patternType="solid">
          <fgColor rgb="FFE1F5EE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b/>
        <sz val="10"/>
        <color rgb="FF1D9E75"/>
        <name val="Arial"/>
      </font>
      <fill>
        <patternFill patternType="solid">
          <fgColor rgb="FFE1F5EE"/>
        </patternFill>
      </fill>
    </dxf>
    <dxf>
      <font>
        <b/>
        <sz val="10"/>
        <color rgb="FFE8590C"/>
        <name val="Arial"/>
      </font>
      <fill>
        <patternFill patternType="solid">
          <fgColor rgb="FFFAEEDA"/>
        </patternFill>
      </fill>
    </dxf>
    <dxf>
      <font>
        <b/>
        <sz val="10"/>
        <color rgb="FFE24B4A"/>
        <name val="Arial"/>
      </font>
      <fill>
        <patternFill patternType="solid">
          <fgColor rgb="FFFCEBEB"/>
        </patternFill>
      </fill>
    </dxf>
    <dxf>
      <font>
        <b/>
        <sz val="10"/>
        <color rgb="FF7B1F1F"/>
        <name val="Arial"/>
      </font>
      <fill>
        <patternFill patternType="solid">
          <fgColor rgb="FFF5E0E0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b/>
        <color rgb="FF2E5FA3"/>
        <name val="Arial"/>
      </font>
      <fill>
        <patternFill patternType="solid">
          <fgColor rgb="FFE3F2FD"/>
        </patternFill>
      </fill>
    </dxf>
    <dxf>
      <font>
        <b/>
        <color rgb="FF2E7D32"/>
        <name val="Arial"/>
      </font>
      <fill>
        <patternFill patternType="solid">
          <fgColor rgb="FFE8F4E8"/>
        </patternFill>
      </fill>
    </dxf>
    <dxf>
      <font>
        <b/>
        <color rgb="FFE8590C"/>
        <name val="Arial"/>
      </font>
      <fill>
        <patternFill patternType="solid">
          <fgColor rgb="FFFDEBD0"/>
        </patternFill>
      </fill>
    </dxf>
    <dxf>
      <font>
        <b/>
        <color rgb="FF2E5FA3"/>
        <name val="Arial"/>
      </font>
      <fill>
        <patternFill patternType="solid">
          <fgColor rgb="FFD6E4F7"/>
        </patternFill>
      </fill>
    </dxf>
    <dxf>
      <font>
        <b/>
        <color rgb="FFF59E0B"/>
        <name val="Arial"/>
      </font>
      <fill>
        <patternFill patternType="solid">
          <fgColor rgb="FFFAEEDA"/>
        </patternFill>
      </fill>
    </dxf>
    <dxf>
      <font>
        <b/>
        <color rgb="FF1D9E75"/>
        <name val="Arial"/>
      </font>
      <fill>
        <patternFill patternType="solid">
          <fgColor rgb="FFE1F5EE"/>
        </patternFill>
      </fill>
    </dxf>
    <dxf>
      <font>
        <b/>
        <color rgb="FF2E5FA3"/>
      </font>
      <fill>
        <patternFill patternType="solid">
          <fgColor rgb="FFD6E4F7"/>
        </patternFill>
      </fill>
    </dxf>
    <dxf>
      <font>
        <b/>
        <color rgb="FFF59E0B"/>
      </font>
      <fill>
        <patternFill patternType="solid">
          <fgColor rgb="FFFAEEDA"/>
        </patternFill>
      </fill>
    </dxf>
    <dxf>
      <font>
        <b/>
        <color rgb="FF1D9E75"/>
      </font>
      <fill>
        <patternFill patternType="solid">
          <fgColor rgb="FFE1F5EE"/>
        </patternFill>
      </fill>
    </dxf>
    <dxf>
      <font>
        <color rgb="FF1D9E75"/>
        <name val="Arial"/>
      </font>
      <fill>
        <patternFill patternType="solid">
          <fgColor rgb="FFE1F5EE"/>
        </patternFill>
      </fill>
    </dxf>
    <dxf>
      <font>
        <b/>
        <color rgb="FFE8590C"/>
        <name val="Arial"/>
      </font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B1F1F"/>
        <name val="Arial"/>
      </font>
      <fill>
        <patternFill patternType="solid">
          <fgColor rgb="FFF5E0E0"/>
        </patternFill>
      </fill>
    </dxf>
    <dxf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ill>
        <patternFill patternType="solid">
          <fgColor rgb="FFFAEEDA"/>
        </patternFill>
      </fill>
    </dxf>
    <dxf>
      <font>
        <b/>
        <color rgb="FFE24B4A"/>
      </font>
      <fill>
        <patternFill patternType="solid">
          <fgColor rgb="FFFCEBEB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5FA3"/>
  </sheetPr>
  <dimension ref="A1:W29"/>
  <sheetViews>
    <sheetView showGridLines="0" tabSelected="1" workbookViewId="0">
      <pane ySplit="2" topLeftCell="A24" activePane="bottomLeft" state="frozen"/>
      <selection pane="bottomLeft" activeCell="A29" sqref="A29"/>
    </sheetView>
  </sheetViews>
  <sheetFormatPr defaultRowHeight="15"/>
  <cols>
    <col min="1" max="1" width="10" customWidth="1"/>
    <col min="2" max="2" width="20" customWidth="1"/>
    <col min="3" max="3" width="19.5703125" customWidth="1"/>
    <col min="4" max="4" width="16" customWidth="1"/>
    <col min="5" max="5" width="10" customWidth="1"/>
    <col min="6" max="6" width="28.7109375" customWidth="1"/>
    <col min="7" max="7" width="26.85546875" customWidth="1"/>
    <col min="8" max="8" width="22" customWidth="1"/>
    <col min="9" max="9" width="14" customWidth="1"/>
    <col min="10" max="10" width="16" customWidth="1"/>
    <col min="11" max="11" width="10" customWidth="1"/>
    <col min="12" max="12" width="14" customWidth="1"/>
    <col min="13" max="13" width="18" customWidth="1"/>
    <col min="14" max="14" width="19.28515625" customWidth="1"/>
    <col min="15" max="15" width="18" customWidth="1"/>
    <col min="16" max="16" width="22" customWidth="1"/>
    <col min="17" max="17" width="20" customWidth="1"/>
    <col min="18" max="18" width="24" customWidth="1"/>
    <col min="19" max="19" width="10.140625" bestFit="1" customWidth="1"/>
    <col min="20" max="20" width="11.28515625" customWidth="1"/>
    <col min="22" max="22" width="19.42578125" customWidth="1"/>
  </cols>
  <sheetData>
    <row r="1" spans="1:23" ht="30" customHeight="1">
      <c r="A1" s="83" t="s">
        <v>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</row>
    <row r="2" spans="1:23" ht="21.95" customHeight="1">
      <c r="A2" s="20" t="s">
        <v>1</v>
      </c>
      <c r="B2" s="20" t="s">
        <v>2</v>
      </c>
      <c r="C2" s="20" t="s">
        <v>3</v>
      </c>
      <c r="D2" s="20" t="s">
        <v>4</v>
      </c>
      <c r="E2" s="20" t="s">
        <v>5</v>
      </c>
      <c r="F2" s="20" t="s">
        <v>6</v>
      </c>
      <c r="G2" s="20" t="s">
        <v>7</v>
      </c>
      <c r="H2" s="20" t="s">
        <v>8</v>
      </c>
      <c r="I2" s="20" t="s">
        <v>9</v>
      </c>
      <c r="J2" s="20" t="s">
        <v>10</v>
      </c>
      <c r="K2" s="20" t="s">
        <v>11</v>
      </c>
      <c r="L2" s="20" t="s">
        <v>12</v>
      </c>
      <c r="M2" s="20" t="s">
        <v>13</v>
      </c>
      <c r="N2" s="20" t="s">
        <v>14</v>
      </c>
      <c r="O2" s="20" t="s">
        <v>15</v>
      </c>
      <c r="P2" s="20" t="s">
        <v>16</v>
      </c>
      <c r="Q2" s="21" t="s">
        <v>17</v>
      </c>
      <c r="R2" s="20" t="s">
        <v>18</v>
      </c>
      <c r="S2" s="20" t="s">
        <v>19</v>
      </c>
      <c r="T2" s="20" t="s">
        <v>20</v>
      </c>
      <c r="U2" s="20" t="s">
        <v>21</v>
      </c>
      <c r="V2" s="20" t="s">
        <v>22</v>
      </c>
      <c r="W2" s="20" t="s">
        <v>23</v>
      </c>
    </row>
    <row r="3" spans="1:23" ht="30.75" customHeight="1">
      <c r="A3" s="22" t="s">
        <v>24</v>
      </c>
      <c r="B3" s="22" t="s">
        <v>25</v>
      </c>
      <c r="C3" s="22" t="s">
        <v>26</v>
      </c>
      <c r="D3" s="22" t="s">
        <v>27</v>
      </c>
      <c r="E3" s="22">
        <v>10</v>
      </c>
      <c r="F3" s="22" t="s">
        <v>28</v>
      </c>
      <c r="G3" s="22" t="s">
        <v>29</v>
      </c>
      <c r="H3" s="22"/>
      <c r="I3" s="23">
        <v>44911</v>
      </c>
      <c r="J3" s="23"/>
      <c r="K3" s="24">
        <f ca="1">IF(I3&lt;&gt;"",TODAY()-I3,"")</f>
        <v>1371</v>
      </c>
      <c r="L3" s="22" t="s">
        <v>30</v>
      </c>
      <c r="M3" s="25" t="s">
        <v>31</v>
      </c>
      <c r="N3" s="26">
        <v>45889</v>
      </c>
      <c r="O3" s="26" t="str">
        <f>IF(M3="Learner Pool",IF(N3&lt;&gt;"",N3+60,""),"N/A")</f>
        <v>N/A</v>
      </c>
      <c r="P3" s="27" t="str">
        <f ca="1">IF(M3="Innovation Pool","No duration limit",IF(OR(N3="",O3=""),"—",IF(O3&lt;TODAY(),"⚠ Review Overdue","Review in "&amp;TEXT(O3-TODAY(),"0")&amp;" days")))</f>
        <v>No duration limit</v>
      </c>
      <c r="Q3" s="28" t="s">
        <v>32</v>
      </c>
      <c r="R3" s="22"/>
      <c r="S3" s="22"/>
      <c r="T3" s="22">
        <v>40</v>
      </c>
      <c r="U3" s="22" t="s">
        <v>33</v>
      </c>
      <c r="V3" s="22" t="s">
        <v>34</v>
      </c>
      <c r="W3" s="22" t="s">
        <v>35</v>
      </c>
    </row>
    <row r="4" spans="1:23" ht="53.25" customHeight="1">
      <c r="A4" s="29" t="s">
        <v>36</v>
      </c>
      <c r="B4" s="29" t="s">
        <v>37</v>
      </c>
      <c r="C4" s="29" t="s">
        <v>38</v>
      </c>
      <c r="D4" s="29" t="s">
        <v>39</v>
      </c>
      <c r="E4" s="29">
        <v>5</v>
      </c>
      <c r="F4" s="29" t="s">
        <v>40</v>
      </c>
      <c r="G4" s="29" t="s">
        <v>41</v>
      </c>
      <c r="H4" s="1" t="s">
        <v>42</v>
      </c>
      <c r="I4" s="30">
        <v>45236</v>
      </c>
      <c r="J4" s="30">
        <v>46259</v>
      </c>
      <c r="K4" s="24">
        <f ca="1">IF(I4&lt;&gt;"",TODAY()-I4,"")</f>
        <v>1046</v>
      </c>
      <c r="L4" s="29" t="s">
        <v>43</v>
      </c>
      <c r="M4" s="25" t="s">
        <v>31</v>
      </c>
      <c r="N4" s="26">
        <v>45943</v>
      </c>
      <c r="O4" s="26" t="str">
        <f>IF(M4="Learner Pool",IF(N4&lt;&gt;"",N4+60,""),"N/A")</f>
        <v>N/A</v>
      </c>
      <c r="P4" s="27" t="str">
        <f ca="1">IF(M4="Innovation Pool","No duration limit",IF(OR(N4="",O4=""),"—",IF(O4&lt;TODAY(),"⚠ Review Overdue","Review in "&amp;TEXT(O4-TODAY(),"0")&amp;" days")))</f>
        <v>No duration limit</v>
      </c>
      <c r="Q4" s="28" t="s">
        <v>32</v>
      </c>
      <c r="R4" s="29" t="s">
        <v>44</v>
      </c>
      <c r="S4" s="30"/>
      <c r="T4" s="29">
        <v>65</v>
      </c>
      <c r="U4" s="29" t="s">
        <v>45</v>
      </c>
      <c r="V4" s="29" t="s">
        <v>34</v>
      </c>
      <c r="W4" s="29" t="s">
        <v>46</v>
      </c>
    </row>
    <row r="5" spans="1:23" ht="51" customHeight="1">
      <c r="A5" s="29" t="s">
        <v>47</v>
      </c>
      <c r="B5" s="22" t="s">
        <v>48</v>
      </c>
      <c r="C5" s="22" t="s">
        <v>49</v>
      </c>
      <c r="D5" s="22" t="s">
        <v>39</v>
      </c>
      <c r="E5" s="22">
        <v>3</v>
      </c>
      <c r="F5" s="22" t="s">
        <v>50</v>
      </c>
      <c r="G5" s="22"/>
      <c r="H5" s="2" t="s">
        <v>51</v>
      </c>
      <c r="I5" s="23">
        <v>45292</v>
      </c>
      <c r="J5" s="23">
        <v>46258</v>
      </c>
      <c r="K5" s="24">
        <f ca="1">IF(I5&lt;&gt;"",TODAY()-I5,"")</f>
        <v>990</v>
      </c>
      <c r="L5" s="29" t="s">
        <v>30</v>
      </c>
      <c r="M5" s="25" t="s">
        <v>31</v>
      </c>
      <c r="N5" s="26">
        <v>45889</v>
      </c>
      <c r="O5" s="26" t="str">
        <f>IF(M5="Learner Pool",IF(N5&lt;&gt;"",N5+60,""),"N/A")</f>
        <v>N/A</v>
      </c>
      <c r="P5" s="27" t="str">
        <f ca="1">IF(M5="Innovation Pool","No duration limit",IF(OR(N5="",O5=""),"—",IF(O5&lt;TODAY(),"⚠ Review Overdue","Review in "&amp;TEXT(O5-TODAY(),"0")&amp;" days")))</f>
        <v>No duration limit</v>
      </c>
      <c r="Q5" s="28" t="s">
        <v>32</v>
      </c>
      <c r="R5" s="22" t="s">
        <v>52</v>
      </c>
      <c r="S5" s="31">
        <v>46203</v>
      </c>
      <c r="T5" s="22">
        <v>50</v>
      </c>
      <c r="U5" s="22" t="s">
        <v>53</v>
      </c>
      <c r="V5" s="22" t="s">
        <v>34</v>
      </c>
      <c r="W5" s="29" t="s">
        <v>54</v>
      </c>
    </row>
    <row r="6" spans="1:23" ht="60" customHeight="1">
      <c r="A6" s="29" t="s">
        <v>55</v>
      </c>
      <c r="B6" s="32" t="s">
        <v>56</v>
      </c>
      <c r="C6" s="32" t="s">
        <v>57</v>
      </c>
      <c r="D6" s="32" t="s">
        <v>39</v>
      </c>
      <c r="E6" s="32">
        <v>5</v>
      </c>
      <c r="F6" s="32" t="s">
        <v>58</v>
      </c>
      <c r="G6" s="32"/>
      <c r="H6" s="32" t="s">
        <v>59</v>
      </c>
      <c r="I6" s="33">
        <v>45586</v>
      </c>
      <c r="J6" s="33"/>
      <c r="K6" s="62">
        <f ca="1">IF(I6&lt;&gt;"",TODAY()-I6,"")</f>
        <v>696</v>
      </c>
      <c r="L6" s="32" t="s">
        <v>43</v>
      </c>
      <c r="M6" s="4" t="s">
        <v>31</v>
      </c>
      <c r="N6" s="5">
        <v>45889</v>
      </c>
      <c r="O6" s="5" t="str">
        <f>IF(M6="Learner Pool",IF(N6&lt;&gt;"",N6+60,""),"N/A")</f>
        <v>N/A</v>
      </c>
      <c r="P6" s="63" t="str">
        <f ca="1">IF(M6="Innovation Pool","No duration limit",IF(OR(N6="",O6=""),"—",IF(O6&lt;TODAY(),"⚠ Review Overdue","Review in "&amp;TEXT(O6-TODAY(),"0")&amp;" days")))</f>
        <v>No duration limit</v>
      </c>
      <c r="Q6" s="64" t="s">
        <v>32</v>
      </c>
      <c r="R6" s="32"/>
      <c r="S6" s="32"/>
      <c r="T6" s="32">
        <v>90</v>
      </c>
      <c r="U6" s="32" t="s">
        <v>45</v>
      </c>
      <c r="V6" s="32" t="s">
        <v>34</v>
      </c>
      <c r="W6" s="59" t="s">
        <v>35</v>
      </c>
    </row>
    <row r="7" spans="1:23" ht="36.75" customHeight="1">
      <c r="A7" s="29" t="s">
        <v>60</v>
      </c>
      <c r="B7" s="3" t="s">
        <v>61</v>
      </c>
      <c r="C7" s="3" t="s">
        <v>62</v>
      </c>
      <c r="D7" s="3" t="s">
        <v>39</v>
      </c>
      <c r="E7" s="3">
        <v>9</v>
      </c>
      <c r="F7" s="74" t="s">
        <v>63</v>
      </c>
      <c r="G7" s="3"/>
      <c r="H7" s="3"/>
      <c r="I7" s="48">
        <v>46251</v>
      </c>
      <c r="J7" s="3"/>
      <c r="K7" s="49">
        <f ca="1">IF(I7&lt;&gt;"",TODAY()-I7,"")</f>
        <v>31</v>
      </c>
      <c r="L7" s="35" t="s">
        <v>64</v>
      </c>
      <c r="M7" s="50" t="s">
        <v>31</v>
      </c>
      <c r="N7" s="51">
        <v>46251</v>
      </c>
      <c r="O7" s="3" t="s">
        <v>65</v>
      </c>
      <c r="P7" s="52" t="str">
        <f ca="1">IF(M7="Innovation Pool","No duration limit",IF(OR(N7="",O7=""),"—",IF(O7&lt;TODAY(),"⚠ Review Overdue","Review in "&amp;TEXT(O7-TODAY(),"0")&amp;" days")))</f>
        <v>No duration limit</v>
      </c>
      <c r="Q7" s="3"/>
      <c r="R7" s="3"/>
      <c r="S7" s="3"/>
      <c r="T7" s="3"/>
      <c r="U7" s="3"/>
      <c r="V7" s="3" t="s">
        <v>34</v>
      </c>
      <c r="W7" s="6" t="s">
        <v>66</v>
      </c>
    </row>
    <row r="8" spans="1:23" ht="54" customHeight="1">
      <c r="A8" s="29" t="s">
        <v>67</v>
      </c>
      <c r="B8" s="59" t="s">
        <v>68</v>
      </c>
      <c r="C8" s="59" t="s">
        <v>69</v>
      </c>
      <c r="D8" s="59" t="s">
        <v>70</v>
      </c>
      <c r="E8" s="59">
        <v>6</v>
      </c>
      <c r="F8" s="59" t="s">
        <v>71</v>
      </c>
      <c r="G8" s="59"/>
      <c r="H8" s="60" t="s">
        <v>72</v>
      </c>
      <c r="I8" s="61">
        <v>46259</v>
      </c>
      <c r="J8" s="61">
        <v>46351</v>
      </c>
      <c r="K8" s="62">
        <f ca="1">IF(I8&lt;&gt;"",TODAY()-I8,"")</f>
        <v>23</v>
      </c>
      <c r="L8" s="59" t="s">
        <v>30</v>
      </c>
      <c r="M8" s="4" t="s">
        <v>73</v>
      </c>
      <c r="N8" s="5">
        <v>46259</v>
      </c>
      <c r="O8" s="5">
        <f>IF(M8="Learner Pool",IF(N8&lt;&gt;"",N8+30,""),"N/A")</f>
        <v>46289</v>
      </c>
      <c r="P8" s="63" t="str">
        <f ca="1">IF(M8="Innovation Pool","No duration limit",IF(OR(N8="",O8=""),"—",IF(O8&lt;TODAY(),"⚠ Review Overdue","Review in "&amp;TEXT(O8-TODAY(),"0")&amp;" days")))</f>
        <v>Review in 7 days</v>
      </c>
      <c r="Q8" s="81" t="s">
        <v>74</v>
      </c>
      <c r="R8" s="59"/>
      <c r="S8" s="61"/>
      <c r="T8" s="59"/>
      <c r="U8" s="59" t="s">
        <v>75</v>
      </c>
      <c r="V8" s="59" t="s">
        <v>76</v>
      </c>
      <c r="W8" s="59" t="s">
        <v>66</v>
      </c>
    </row>
    <row r="9" spans="1:23" ht="39.75" customHeight="1">
      <c r="A9" s="29" t="s">
        <v>77</v>
      </c>
      <c r="B9" s="35" t="s">
        <v>78</v>
      </c>
      <c r="C9" s="35" t="s">
        <v>69</v>
      </c>
      <c r="D9" s="35" t="s">
        <v>70</v>
      </c>
      <c r="E9" s="35">
        <v>7</v>
      </c>
      <c r="F9" s="2" t="s">
        <v>79</v>
      </c>
      <c r="G9" s="35"/>
      <c r="H9" s="35"/>
      <c r="I9" s="48">
        <v>45885</v>
      </c>
      <c r="J9" s="48">
        <v>46207</v>
      </c>
      <c r="K9" s="49">
        <f ca="1">IF(I9&lt;&gt;"",TODAY()-I9,"")</f>
        <v>397</v>
      </c>
      <c r="L9" s="35" t="s">
        <v>30</v>
      </c>
      <c r="M9" s="50" t="s">
        <v>31</v>
      </c>
      <c r="N9" s="51">
        <v>45943</v>
      </c>
      <c r="O9" s="51" t="str">
        <f>IF(M9="Learner Pool",IF(N9&lt;&gt;"",N9+60,""),"N/A")</f>
        <v>N/A</v>
      </c>
      <c r="P9" s="52" t="str">
        <f ca="1">IF(M9="Innovation Pool","No duration limit",IF(OR(N9="",O9=""),"—",IF(O9&lt;TODAY(),"⚠ Review Overdue","Review in "&amp;TEXT(O9-TODAY(),"0")&amp;" days")))</f>
        <v>No duration limit</v>
      </c>
      <c r="Q9" s="81" t="s">
        <v>74</v>
      </c>
      <c r="R9" s="35"/>
      <c r="S9" s="35"/>
      <c r="T9" s="35">
        <v>85</v>
      </c>
      <c r="U9" s="35" t="s">
        <v>75</v>
      </c>
      <c r="V9" s="35" t="s">
        <v>80</v>
      </c>
      <c r="W9" s="35" t="s">
        <v>35</v>
      </c>
    </row>
    <row r="10" spans="1:23" ht="30.75" customHeight="1">
      <c r="A10" s="29" t="s">
        <v>81</v>
      </c>
      <c r="B10" s="3" t="s">
        <v>82</v>
      </c>
      <c r="C10" s="3" t="s">
        <v>38</v>
      </c>
      <c r="D10" s="3" t="s">
        <v>39</v>
      </c>
      <c r="E10" s="3">
        <v>5</v>
      </c>
      <c r="F10" s="2" t="s">
        <v>83</v>
      </c>
      <c r="G10" s="3"/>
      <c r="H10" s="3"/>
      <c r="I10" s="48">
        <v>45929</v>
      </c>
      <c r="J10" s="55">
        <v>46256</v>
      </c>
      <c r="K10" s="49">
        <f ca="1">IF(I10&lt;&gt;"",TODAY()-I10,"")</f>
        <v>353</v>
      </c>
      <c r="L10" s="3" t="s">
        <v>30</v>
      </c>
      <c r="M10" s="3" t="s">
        <v>31</v>
      </c>
      <c r="N10" s="51">
        <v>45978</v>
      </c>
      <c r="O10" s="51" t="str">
        <f>IF(M10="Learner Pool",IF(N10&lt;&gt;"",N10+60,""),"N/A")</f>
        <v>N/A</v>
      </c>
      <c r="P10" s="52" t="str">
        <f ca="1">IF(M10="Innovation Pool","No duration limit",IF(OR(N10="",O10=""),"—",IF(O10&lt;TODAY(),"⚠ Review Overdue","Review in "&amp;TEXT(O10-TODAY(),"0")&amp;" days")))</f>
        <v>No duration limit</v>
      </c>
      <c r="Q10" s="53" t="s">
        <v>74</v>
      </c>
      <c r="R10" s="35"/>
      <c r="S10" s="35"/>
      <c r="T10" s="3">
        <v>90</v>
      </c>
      <c r="U10" s="6" t="s">
        <v>45</v>
      </c>
      <c r="V10" s="3" t="s">
        <v>34</v>
      </c>
      <c r="W10" s="6" t="s">
        <v>35</v>
      </c>
    </row>
    <row r="11" spans="1:23" ht="45.75" customHeight="1">
      <c r="A11" s="29" t="s">
        <v>84</v>
      </c>
      <c r="B11" s="3" t="s">
        <v>85</v>
      </c>
      <c r="C11" s="3" t="s">
        <v>62</v>
      </c>
      <c r="D11" s="3" t="s">
        <v>39</v>
      </c>
      <c r="E11" s="3">
        <v>5</v>
      </c>
      <c r="F11" s="7" t="s">
        <v>86</v>
      </c>
      <c r="G11" s="3" t="s">
        <v>87</v>
      </c>
      <c r="H11" s="3" t="s">
        <v>88</v>
      </c>
      <c r="I11" s="48">
        <v>45930</v>
      </c>
      <c r="J11" s="55">
        <v>46256</v>
      </c>
      <c r="K11" s="49">
        <f ca="1">IF(I11&lt;&gt;"",TODAY()-I11,"")</f>
        <v>352</v>
      </c>
      <c r="L11" s="3" t="s">
        <v>30</v>
      </c>
      <c r="M11" s="3" t="s">
        <v>31</v>
      </c>
      <c r="N11" s="51">
        <v>45978</v>
      </c>
      <c r="O11" s="51" t="str">
        <f>IF(M11="Learner Pool",IF(N11&lt;&gt;"",N11+60,""),"N/A")</f>
        <v>N/A</v>
      </c>
      <c r="P11" s="52" t="str">
        <f ca="1">IF(M11="Innovation Pool","No duration limit",IF(OR(N11="",O11=""),"—",IF(O11&lt;TODAY(),"⚠ Review Overdue","Review in "&amp;TEXT(O11-TODAY(),"0")&amp;" days")))</f>
        <v>No duration limit</v>
      </c>
      <c r="Q11" s="53" t="s">
        <v>74</v>
      </c>
      <c r="R11" s="35"/>
      <c r="S11" s="35"/>
      <c r="T11" s="3">
        <v>90</v>
      </c>
      <c r="U11" s="3" t="s">
        <v>89</v>
      </c>
      <c r="V11" s="3" t="s">
        <v>34</v>
      </c>
      <c r="W11" s="6" t="s">
        <v>35</v>
      </c>
    </row>
    <row r="12" spans="1:23" ht="30.75" customHeight="1">
      <c r="A12" s="29" t="s">
        <v>90</v>
      </c>
      <c r="B12" s="3" t="s">
        <v>91</v>
      </c>
      <c r="C12" s="3" t="s">
        <v>92</v>
      </c>
      <c r="D12" s="3" t="s">
        <v>39</v>
      </c>
      <c r="E12" s="3">
        <v>1</v>
      </c>
      <c r="F12" s="3" t="s">
        <v>93</v>
      </c>
      <c r="G12" s="3" t="s">
        <v>94</v>
      </c>
      <c r="H12" s="3" t="s">
        <v>95</v>
      </c>
      <c r="I12" s="48">
        <v>46052</v>
      </c>
      <c r="J12" s="55">
        <v>46256</v>
      </c>
      <c r="K12" s="49">
        <f ca="1">IF(I12&lt;&gt;"",TODAY()-I12,"")</f>
        <v>230</v>
      </c>
      <c r="L12" s="3" t="s">
        <v>30</v>
      </c>
      <c r="M12" s="3" t="s">
        <v>31</v>
      </c>
      <c r="N12" s="48">
        <v>46052</v>
      </c>
      <c r="O12" s="51" t="str">
        <f>IF(M12="Learner Pool",IF(N12&lt;&gt;"",N12+60,""),"N/A")</f>
        <v>N/A</v>
      </c>
      <c r="P12" s="52" t="str">
        <f ca="1">IF(M12="Innovation Pool","No duration limit",IF(OR(N12="",O12=""),"—",IF(O12&lt;TODAY(),"⚠ Review Overdue","Review in "&amp;TEXT(O12-TODAY(),"0")&amp;" days")))</f>
        <v>No duration limit</v>
      </c>
      <c r="Q12" s="53" t="s">
        <v>96</v>
      </c>
      <c r="R12" s="35"/>
      <c r="S12" s="35"/>
      <c r="T12" s="3">
        <v>100</v>
      </c>
      <c r="U12" s="6" t="s">
        <v>92</v>
      </c>
      <c r="V12" s="3" t="s">
        <v>34</v>
      </c>
      <c r="W12" s="6" t="s">
        <v>35</v>
      </c>
    </row>
    <row r="13" spans="1:23" ht="30.75" customHeight="1">
      <c r="A13" s="29" t="s">
        <v>97</v>
      </c>
      <c r="B13" s="3" t="s">
        <v>98</v>
      </c>
      <c r="C13" s="3" t="s">
        <v>49</v>
      </c>
      <c r="D13" s="3" t="s">
        <v>39</v>
      </c>
      <c r="E13" s="3">
        <v>4</v>
      </c>
      <c r="F13" s="3" t="s">
        <v>99</v>
      </c>
      <c r="G13" s="3"/>
      <c r="H13" s="3"/>
      <c r="I13" s="48">
        <v>45935</v>
      </c>
      <c r="J13" s="55">
        <v>46256</v>
      </c>
      <c r="K13" s="49">
        <f ca="1">IF(I13&lt;&gt;"",TODAY()-I13,"")</f>
        <v>347</v>
      </c>
      <c r="L13" s="3" t="s">
        <v>30</v>
      </c>
      <c r="M13" s="3" t="s">
        <v>31</v>
      </c>
      <c r="N13" s="48">
        <v>45935</v>
      </c>
      <c r="O13" s="51" t="str">
        <f>IF(M13="Learner Pool",IF(N13&lt;&gt;"",N13+60,""),"N/A")</f>
        <v>N/A</v>
      </c>
      <c r="P13" s="52" t="str">
        <f ca="1">IF(M13="Innovation Pool","No duration limit",IF(OR(N13="",O13=""),"—",IF(O13&lt;TODAY(),"⚠ Review Overdue","Review in "&amp;TEXT(O13-TODAY(),"0")&amp;" days")))</f>
        <v>No duration limit</v>
      </c>
      <c r="Q13" s="53" t="s">
        <v>74</v>
      </c>
      <c r="R13" s="35"/>
      <c r="S13" s="35"/>
      <c r="T13" s="3"/>
      <c r="U13" s="3"/>
      <c r="V13" s="3"/>
      <c r="W13" s="6" t="s">
        <v>35</v>
      </c>
    </row>
    <row r="14" spans="1:23" ht="30.75" customHeight="1">
      <c r="A14" s="29" t="s">
        <v>100</v>
      </c>
      <c r="B14" s="9" t="s">
        <v>101</v>
      </c>
      <c r="C14" s="3" t="s">
        <v>102</v>
      </c>
      <c r="D14" s="3" t="s">
        <v>39</v>
      </c>
      <c r="E14" s="3">
        <v>5</v>
      </c>
      <c r="F14" s="3" t="s">
        <v>103</v>
      </c>
      <c r="G14" s="3" t="s">
        <v>104</v>
      </c>
      <c r="H14" s="3"/>
      <c r="I14" s="48">
        <v>46244</v>
      </c>
      <c r="J14" s="55">
        <v>46256</v>
      </c>
      <c r="K14" s="49">
        <f ca="1">IF(I14&lt;&gt;"",TODAY()-I14,"")</f>
        <v>38</v>
      </c>
      <c r="L14" s="3" t="s">
        <v>30</v>
      </c>
      <c r="M14" s="3" t="s">
        <v>73</v>
      </c>
      <c r="N14" s="48">
        <v>46244</v>
      </c>
      <c r="O14" s="51">
        <f>IF(M14="Learner Pool",IF(N14&lt;&gt;"",N14+46,""),"N/A")</f>
        <v>46290</v>
      </c>
      <c r="P14" s="52" t="str">
        <f ca="1">IF(M14="Innovation Pool","No duration limit",IF(OR(N14="",O14=""),"—",IF(O14&lt;TODAY(),"⚠ Review Overdue","Review in "&amp;TEXT(O14-TODAY(),"0")&amp;" days")))</f>
        <v>Review in 8 days</v>
      </c>
      <c r="Q14" s="53" t="s">
        <v>96</v>
      </c>
      <c r="R14" s="35"/>
      <c r="S14" s="35"/>
      <c r="T14" s="3">
        <v>100</v>
      </c>
      <c r="U14" s="6" t="s">
        <v>105</v>
      </c>
      <c r="V14" s="3" t="s">
        <v>34</v>
      </c>
      <c r="W14" s="6" t="s">
        <v>35</v>
      </c>
    </row>
    <row r="15" spans="1:23" ht="30.75" customHeight="1">
      <c r="A15" s="29" t="s">
        <v>106</v>
      </c>
      <c r="B15" s="3" t="s">
        <v>107</v>
      </c>
      <c r="C15" s="3" t="s">
        <v>102</v>
      </c>
      <c r="D15" s="3" t="s">
        <v>39</v>
      </c>
      <c r="E15" s="3">
        <v>11</v>
      </c>
      <c r="F15" s="3" t="s">
        <v>108</v>
      </c>
      <c r="G15" s="3" t="s">
        <v>109</v>
      </c>
      <c r="H15" s="3" t="s">
        <v>110</v>
      </c>
      <c r="I15" s="48">
        <v>46082</v>
      </c>
      <c r="J15" s="55">
        <v>46256</v>
      </c>
      <c r="K15" s="49">
        <f ca="1">IF(I15&lt;&gt;"",TODAY()-I15,"")</f>
        <v>200</v>
      </c>
      <c r="L15" s="3" t="s">
        <v>30</v>
      </c>
      <c r="M15" s="3" t="s">
        <v>31</v>
      </c>
      <c r="N15" s="48">
        <v>46028</v>
      </c>
      <c r="O15" s="51" t="str">
        <f>IF(M15="Learner Pool",IF(N15&lt;&gt;"",N15+60,""),"N/A")</f>
        <v>N/A</v>
      </c>
      <c r="P15" s="52" t="str">
        <f ca="1">IF(M15="Innovation Pool","No duration limit",IF(OR(N15="",O15=""),"—",IF(O15&lt;TODAY(),"⚠ Review Overdue","Review in "&amp;TEXT(O15-TODAY(),"0")&amp;" days")))</f>
        <v>No duration limit</v>
      </c>
      <c r="Q15" s="53" t="s">
        <v>96</v>
      </c>
      <c r="R15" s="35"/>
      <c r="S15" s="35"/>
      <c r="T15" s="3">
        <v>100</v>
      </c>
      <c r="U15" s="6" t="s">
        <v>111</v>
      </c>
      <c r="V15" s="3" t="s">
        <v>34</v>
      </c>
      <c r="W15" s="6" t="s">
        <v>35</v>
      </c>
    </row>
    <row r="16" spans="1:23" ht="30.75" customHeight="1">
      <c r="A16" s="29" t="s">
        <v>112</v>
      </c>
      <c r="B16" s="3" t="s">
        <v>113</v>
      </c>
      <c r="C16" s="3" t="s">
        <v>62</v>
      </c>
      <c r="D16" s="3" t="s">
        <v>39</v>
      </c>
      <c r="E16" s="3">
        <v>7</v>
      </c>
      <c r="F16" s="6" t="s">
        <v>114</v>
      </c>
      <c r="G16" s="3"/>
      <c r="H16" s="3"/>
      <c r="I16" s="48">
        <v>46082</v>
      </c>
      <c r="J16" s="55">
        <v>46256</v>
      </c>
      <c r="K16" s="49">
        <f ca="1">IF(I16&lt;&gt;"",TODAY()-I16,"")</f>
        <v>200</v>
      </c>
      <c r="L16" s="3" t="s">
        <v>30</v>
      </c>
      <c r="M16" s="3" t="s">
        <v>31</v>
      </c>
      <c r="N16" s="48">
        <v>46028</v>
      </c>
      <c r="O16" s="51" t="str">
        <f>IF(M16="Learner Pool",IF(N16&lt;&gt;"",N16+60,""),"N/A")</f>
        <v>N/A</v>
      </c>
      <c r="P16" s="52" t="str">
        <f ca="1">IF(M16="Innovation Pool","No duration limit",IF(OR(N16="",O16=""),"—",IF(O16&lt;TODAY(),"⚠ Review Overdue","Review in "&amp;TEXT(O16-TODAY(),"0")&amp;" days")))</f>
        <v>No duration limit</v>
      </c>
      <c r="Q16" s="53" t="s">
        <v>96</v>
      </c>
      <c r="R16" s="35"/>
      <c r="S16" s="35"/>
      <c r="T16" s="3">
        <v>100</v>
      </c>
      <c r="U16" s="3" t="s">
        <v>115</v>
      </c>
      <c r="V16" s="3" t="s">
        <v>34</v>
      </c>
      <c r="W16" s="6" t="s">
        <v>35</v>
      </c>
    </row>
    <row r="17" spans="1:23" ht="30.75" customHeight="1">
      <c r="A17" s="29" t="s">
        <v>116</v>
      </c>
      <c r="B17" s="3" t="s">
        <v>117</v>
      </c>
      <c r="C17" s="3" t="s">
        <v>69</v>
      </c>
      <c r="D17" s="3" t="s">
        <v>70</v>
      </c>
      <c r="E17" s="3">
        <v>6</v>
      </c>
      <c r="F17" s="6" t="s">
        <v>118</v>
      </c>
      <c r="G17" s="3"/>
      <c r="H17" s="3"/>
      <c r="I17" s="48">
        <v>46150</v>
      </c>
      <c r="J17" s="3"/>
      <c r="K17" s="56">
        <f ca="1">IF(I17&lt;&gt;"",TODAY()-I17,"")</f>
        <v>132</v>
      </c>
      <c r="L17" s="3" t="s">
        <v>30</v>
      </c>
      <c r="M17" s="3" t="s">
        <v>31</v>
      </c>
      <c r="N17" s="65">
        <v>46150</v>
      </c>
      <c r="O17" s="3"/>
      <c r="P17" s="3"/>
      <c r="Q17" s="3"/>
      <c r="R17" s="3"/>
      <c r="S17" s="3"/>
      <c r="T17" s="3">
        <v>100</v>
      </c>
      <c r="U17" s="3" t="s">
        <v>75</v>
      </c>
      <c r="V17" s="3" t="s">
        <v>34</v>
      </c>
      <c r="W17" s="6" t="s">
        <v>35</v>
      </c>
    </row>
    <row r="18" spans="1:23" ht="14.25" customHeight="1">
      <c r="A18" s="29" t="s">
        <v>119</v>
      </c>
      <c r="B18" s="3" t="s">
        <v>120</v>
      </c>
      <c r="C18" s="3" t="s">
        <v>121</v>
      </c>
      <c r="D18" s="3" t="s">
        <v>122</v>
      </c>
      <c r="E18" s="3">
        <v>0</v>
      </c>
      <c r="F18" s="3" t="s">
        <v>123</v>
      </c>
      <c r="G18" s="3"/>
      <c r="H18" s="3"/>
      <c r="I18" s="48">
        <v>46164</v>
      </c>
      <c r="J18" s="3"/>
      <c r="K18" s="49">
        <f ca="1">IF(I18&lt;&gt;"",TODAY()-I18,"")</f>
        <v>118</v>
      </c>
      <c r="L18" s="3" t="s">
        <v>124</v>
      </c>
      <c r="M18" s="3"/>
      <c r="N18" s="11">
        <v>46164</v>
      </c>
      <c r="O18" s="51" t="str">
        <f>IF(M18="Learner Pool",IF(N18&lt;&gt;"",N18+60,""),"N/A")</f>
        <v>N/A</v>
      </c>
      <c r="P18" s="52" t="e">
        <f ca="1">IF(M18="Innovation Pool","No duration limit",IF(OR(N18="",O18=""),"—",IF(O18&lt;TODAY(),"⚠ Review Overdue","Review in "&amp;TEXT(O18-TODAY(),"0")&amp;" days")))</f>
        <v>#VALUE!</v>
      </c>
      <c r="Q18" s="53" t="s">
        <v>125</v>
      </c>
      <c r="R18" s="3"/>
      <c r="S18" s="3"/>
      <c r="T18" s="3"/>
      <c r="U18" s="3"/>
      <c r="V18" s="3"/>
      <c r="W18" s="3"/>
    </row>
    <row r="19" spans="1:23" ht="14.25" customHeight="1">
      <c r="A19" s="29" t="s">
        <v>126</v>
      </c>
      <c r="B19" s="3" t="s">
        <v>127</v>
      </c>
      <c r="C19" s="3" t="s">
        <v>121</v>
      </c>
      <c r="D19" s="3" t="s">
        <v>122</v>
      </c>
      <c r="E19" s="3">
        <v>0</v>
      </c>
      <c r="F19" s="3" t="s">
        <v>104</v>
      </c>
      <c r="G19" s="3"/>
      <c r="H19" s="3"/>
      <c r="I19" s="48">
        <v>46195</v>
      </c>
      <c r="J19" s="3"/>
      <c r="K19" s="56">
        <f ca="1">IF(I19&lt;&gt;"",TODAY()-I19,"")</f>
        <v>87</v>
      </c>
      <c r="L19" s="3" t="s">
        <v>124</v>
      </c>
      <c r="M19" s="3"/>
      <c r="N19" s="11">
        <v>46195</v>
      </c>
      <c r="O19" s="51" t="str">
        <f>IF(M19="Learner Pool",IF(N19&lt;&gt;"",N19+60,""),"N/A")</f>
        <v>N/A</v>
      </c>
      <c r="P19" s="52" t="e">
        <f ca="1">IF(M19="Innovation Pool","No duration limit",IF(OR(N19="",O19=""),"—",IF(O19&lt;TODAY(),"⚠ Review Overdue","Review in "&amp;TEXT(O19-TODAY(),"0")&amp;" days")))</f>
        <v>#VALUE!</v>
      </c>
      <c r="Q19" s="53" t="s">
        <v>125</v>
      </c>
      <c r="R19" s="3"/>
      <c r="S19" s="3"/>
      <c r="T19" s="3"/>
      <c r="U19" s="3"/>
      <c r="V19" s="3"/>
      <c r="W19" s="3"/>
    </row>
    <row r="20" spans="1:23" ht="14.25" customHeight="1">
      <c r="A20" s="29" t="s">
        <v>128</v>
      </c>
      <c r="B20" s="3" t="s">
        <v>129</v>
      </c>
      <c r="C20" s="3" t="s">
        <v>121</v>
      </c>
      <c r="D20" s="3" t="s">
        <v>122</v>
      </c>
      <c r="E20" s="3">
        <v>0</v>
      </c>
      <c r="F20" s="3" t="s">
        <v>104</v>
      </c>
      <c r="G20" s="3"/>
      <c r="H20" s="3"/>
      <c r="I20" s="48">
        <v>46195</v>
      </c>
      <c r="J20" s="3"/>
      <c r="K20" s="56">
        <f ca="1">IF(I20&lt;&gt;"",TODAY()-I20,"")</f>
        <v>87</v>
      </c>
      <c r="L20" s="3" t="s">
        <v>124</v>
      </c>
      <c r="M20" s="3"/>
      <c r="N20" s="11">
        <v>46195</v>
      </c>
      <c r="O20" s="51" t="str">
        <f>IF(M20="Learner Pool",IF(N20&lt;&gt;"",N20+60,""),"N/A")</f>
        <v>N/A</v>
      </c>
      <c r="P20" s="52" t="e">
        <f ca="1">IF(M20="Innovation Pool","No duration limit",IF(OR(N20="",O20=""),"—",IF(O20&lt;TODAY(),"⚠ Review Overdue","Review in "&amp;TEXT(O20-TODAY(),"0")&amp;" days")))</f>
        <v>#VALUE!</v>
      </c>
      <c r="Q20" s="53" t="s">
        <v>125</v>
      </c>
      <c r="R20" s="3"/>
      <c r="S20" s="3"/>
      <c r="T20" s="3"/>
      <c r="U20" s="3"/>
      <c r="V20" s="3"/>
      <c r="W20" s="3"/>
    </row>
    <row r="21" spans="1:23" ht="14.25" customHeight="1">
      <c r="A21" s="29" t="s">
        <v>130</v>
      </c>
      <c r="B21" s="3" t="s">
        <v>131</v>
      </c>
      <c r="C21" s="3" t="s">
        <v>121</v>
      </c>
      <c r="D21" s="3" t="s">
        <v>122</v>
      </c>
      <c r="E21" s="3">
        <v>0</v>
      </c>
      <c r="F21" s="3" t="s">
        <v>132</v>
      </c>
      <c r="G21" s="3"/>
      <c r="H21" s="3"/>
      <c r="I21" s="48">
        <v>46198</v>
      </c>
      <c r="J21" s="3"/>
      <c r="K21" s="56">
        <f ca="1">IF(I21&lt;&gt;"",TODAY()-I21,"")</f>
        <v>84</v>
      </c>
      <c r="L21" s="3" t="s">
        <v>124</v>
      </c>
      <c r="M21" s="3"/>
      <c r="N21" s="11">
        <v>46198</v>
      </c>
      <c r="O21" s="51" t="str">
        <f>IF(M21="Learner Pool",IF(N21&lt;&gt;"",N21+60,""),"N/A")</f>
        <v>N/A</v>
      </c>
      <c r="P21" s="3"/>
      <c r="Q21" s="53" t="s">
        <v>125</v>
      </c>
      <c r="R21" s="3"/>
      <c r="S21" s="3"/>
      <c r="T21" s="3"/>
      <c r="U21" s="3"/>
      <c r="V21" s="3"/>
      <c r="W21" s="3"/>
    </row>
    <row r="22" spans="1:23" ht="14.25" customHeight="1">
      <c r="A22" s="29" t="s">
        <v>133</v>
      </c>
      <c r="B22" s="3" t="s">
        <v>134</v>
      </c>
      <c r="C22" s="3" t="s">
        <v>69</v>
      </c>
      <c r="D22" s="3" t="s">
        <v>70</v>
      </c>
      <c r="E22" s="3">
        <v>7</v>
      </c>
      <c r="F22" s="57" t="s">
        <v>135</v>
      </c>
      <c r="G22" s="3"/>
      <c r="H22" s="3"/>
      <c r="I22" s="48">
        <v>46223</v>
      </c>
      <c r="J22" s="3"/>
      <c r="K22" s="56">
        <f ca="1">IF(I22&lt;&gt;"",TODAY()-I22,"")</f>
        <v>59</v>
      </c>
      <c r="L22" s="3" t="s">
        <v>30</v>
      </c>
      <c r="M22" s="3" t="s">
        <v>73</v>
      </c>
      <c r="N22" s="11">
        <v>46223</v>
      </c>
      <c r="O22" s="51">
        <f>IF(M22="Learner Pool",IF(N22&lt;&gt;"",N22+30,""),"N/A")</f>
        <v>46253</v>
      </c>
      <c r="P22" s="52" t="str">
        <f ca="1">IF(M22="Innovation Pool","No duration limit",IF(OR(N22="",O22=""),"—",IF(O22&lt;TODAY(),"⚠ Review Overdue","Review in "&amp;TEXT(O22-TODAY(),"0")&amp;" days")))</f>
        <v>⚠ Review Overdue</v>
      </c>
      <c r="Q22" s="53" t="s">
        <v>125</v>
      </c>
      <c r="R22" s="3"/>
      <c r="S22" s="58">
        <v>46253</v>
      </c>
      <c r="T22" s="3">
        <v>100</v>
      </c>
      <c r="U22" s="3" t="s">
        <v>136</v>
      </c>
      <c r="V22" s="3" t="s">
        <v>34</v>
      </c>
      <c r="W22" s="6" t="s">
        <v>137</v>
      </c>
    </row>
    <row r="23" spans="1:23" ht="62.25" customHeight="1">
      <c r="A23" s="29" t="s">
        <v>138</v>
      </c>
      <c r="B23" s="8" t="s">
        <v>139</v>
      </c>
      <c r="C23" s="8" t="s">
        <v>140</v>
      </c>
      <c r="D23" s="8" t="s">
        <v>39</v>
      </c>
      <c r="E23" s="8">
        <v>10</v>
      </c>
      <c r="F23" s="8" t="s">
        <v>141</v>
      </c>
      <c r="G23" s="8" t="s">
        <v>104</v>
      </c>
      <c r="H23" s="8"/>
      <c r="I23" s="66">
        <v>45778</v>
      </c>
      <c r="J23" s="8"/>
      <c r="K23" s="67">
        <f ca="1">IF(I23&lt;&gt;"",TODAY()-I23,"")</f>
        <v>504</v>
      </c>
      <c r="L23" s="8" t="s">
        <v>64</v>
      </c>
      <c r="M23" s="8" t="s">
        <v>31</v>
      </c>
      <c r="N23" s="68">
        <v>45778</v>
      </c>
      <c r="O23" s="69" t="str">
        <f>IF(M23="Learner Pool",IF(N23&lt;&gt;"",N23+60,""),"N/A")</f>
        <v>N/A</v>
      </c>
      <c r="P23" s="70" t="str">
        <f ca="1">IF(M23="Innovation Pool","No duration limit",IF(OR(N23="",O23=""),"—",IF(O23&lt;TODAY(),"⚠ Review Overdue","Review in "&amp;TEXT(O23-TODAY(),"0")&amp;" days")))</f>
        <v>No duration limit</v>
      </c>
      <c r="Q23" s="71" t="s">
        <v>125</v>
      </c>
      <c r="R23" s="8"/>
      <c r="S23" s="8"/>
      <c r="T23" s="8"/>
      <c r="U23" s="8" t="s">
        <v>142</v>
      </c>
      <c r="V23" s="8" t="s">
        <v>34</v>
      </c>
      <c r="W23" s="8" t="s">
        <v>66</v>
      </c>
    </row>
    <row r="24" spans="1:23" ht="60.75">
      <c r="A24" s="29" t="s">
        <v>143</v>
      </c>
      <c r="B24" s="3" t="s">
        <v>144</v>
      </c>
      <c r="C24" s="3" t="s">
        <v>26</v>
      </c>
      <c r="D24" s="3" t="s">
        <v>27</v>
      </c>
      <c r="E24" s="3">
        <v>19</v>
      </c>
      <c r="F24" s="6" t="s">
        <v>145</v>
      </c>
      <c r="G24" s="3"/>
      <c r="H24" s="3"/>
      <c r="I24" s="48">
        <v>46235</v>
      </c>
      <c r="J24" s="3"/>
      <c r="K24" s="56">
        <f ca="1">IF(I24&lt;&gt;"",TODAY()-I24,"")</f>
        <v>47</v>
      </c>
      <c r="L24" s="3" t="s">
        <v>30</v>
      </c>
      <c r="M24" s="3" t="s">
        <v>31</v>
      </c>
      <c r="N24" s="65">
        <v>46235</v>
      </c>
      <c r="O24" s="3"/>
      <c r="P24" s="3"/>
      <c r="Q24" s="3"/>
      <c r="R24" s="3"/>
      <c r="S24" s="3"/>
      <c r="T24" s="3">
        <v>100</v>
      </c>
      <c r="U24" s="6" t="s">
        <v>26</v>
      </c>
      <c r="V24" s="3" t="s">
        <v>34</v>
      </c>
      <c r="W24" s="6" t="s">
        <v>35</v>
      </c>
    </row>
    <row r="25" spans="1:23" ht="45.75">
      <c r="A25" s="29" t="s">
        <v>146</v>
      </c>
      <c r="B25" s="3" t="s">
        <v>147</v>
      </c>
      <c r="C25" s="3" t="s">
        <v>148</v>
      </c>
      <c r="D25" s="3" t="s">
        <v>39</v>
      </c>
      <c r="E25" s="3">
        <v>10</v>
      </c>
      <c r="F25" s="3" t="s">
        <v>149</v>
      </c>
      <c r="G25" s="3"/>
      <c r="H25" s="3"/>
      <c r="I25" s="48">
        <v>46244</v>
      </c>
      <c r="J25" s="3"/>
      <c r="K25" s="56">
        <f ca="1">IF(I25&lt;&gt;"",TODAY()-I25,"")</f>
        <v>38</v>
      </c>
      <c r="L25" s="3" t="s">
        <v>30</v>
      </c>
      <c r="M25" s="3" t="s">
        <v>73</v>
      </c>
      <c r="N25" s="65">
        <v>46244</v>
      </c>
      <c r="O25" s="51">
        <f>IF(M25="Learner Pool",IF(N25&lt;&gt;"",N25+46,""),"N/A")</f>
        <v>46290</v>
      </c>
      <c r="P25" s="52" t="str">
        <f ca="1">IF(M25="Innovation Pool","No duration limit",IF(OR(N25="",O25=""),"—",IF(O25&lt;TODAY(),"⚠ Review Overdue","Review in "&amp;TEXT(O25-TODAY(),"0")&amp;" days")))</f>
        <v>Review in 8 days</v>
      </c>
      <c r="Q25" s="3"/>
      <c r="R25" t="s">
        <v>150</v>
      </c>
      <c r="S25" s="3"/>
      <c r="T25" s="3">
        <v>100</v>
      </c>
      <c r="U25" s="6" t="s">
        <v>151</v>
      </c>
      <c r="V25" s="3" t="s">
        <v>34</v>
      </c>
      <c r="W25" s="6" t="s">
        <v>35</v>
      </c>
    </row>
    <row r="26" spans="1:23" ht="45.75">
      <c r="A26" s="29" t="s">
        <v>152</v>
      </c>
      <c r="B26" s="8" t="s">
        <v>153</v>
      </c>
      <c r="C26" s="8" t="s">
        <v>62</v>
      </c>
      <c r="D26" s="8" t="s">
        <v>39</v>
      </c>
      <c r="E26" s="8">
        <v>5</v>
      </c>
      <c r="F26" s="8" t="s">
        <v>86</v>
      </c>
      <c r="G26" s="8"/>
      <c r="H26" s="8"/>
      <c r="I26" s="66">
        <v>46244</v>
      </c>
      <c r="J26" s="8"/>
      <c r="K26" s="67">
        <f t="shared" ref="K26:K28" ca="1" si="0">IF(I26&lt;&gt;"",TODAY()-I26,"")</f>
        <v>38</v>
      </c>
      <c r="L26" s="8" t="s">
        <v>30</v>
      </c>
      <c r="M26" s="8" t="s">
        <v>73</v>
      </c>
      <c r="N26" s="73">
        <v>46244</v>
      </c>
      <c r="O26" s="69">
        <f>IF(M26="Learner Pool",IF(N26&lt;&gt;"",N26+46,""),"N/A")</f>
        <v>46290</v>
      </c>
      <c r="P26" s="70" t="str">
        <f ca="1">IF(M26="Innovation Pool","No duration limit",IF(OR(N26="",O26=""),"—",IF(O26&lt;TODAY(),"⚠ Review Overdue","Review in "&amp;TEXT(O26-TODAY(),"0")&amp;" days")))</f>
        <v>Review in 8 days</v>
      </c>
      <c r="Q26" s="8"/>
      <c r="R26" t="s">
        <v>150</v>
      </c>
      <c r="S26" s="8"/>
      <c r="T26" s="8">
        <v>100</v>
      </c>
      <c r="U26" s="8"/>
      <c r="V26" s="8" t="s">
        <v>34</v>
      </c>
      <c r="W26" s="72" t="s">
        <v>35</v>
      </c>
    </row>
    <row r="27" spans="1:23" ht="45.75">
      <c r="A27" s="29" t="s">
        <v>154</v>
      </c>
      <c r="B27" s="8" t="s">
        <v>155</v>
      </c>
      <c r="C27" s="8" t="s">
        <v>102</v>
      </c>
      <c r="D27" s="8" t="s">
        <v>39</v>
      </c>
      <c r="E27" s="8">
        <v>18</v>
      </c>
      <c r="F27" s="8" t="s">
        <v>156</v>
      </c>
      <c r="G27" s="8"/>
      <c r="H27" s="8"/>
      <c r="I27" s="66">
        <v>46281</v>
      </c>
      <c r="J27" s="8"/>
      <c r="K27" s="67">
        <f t="shared" ca="1" si="0"/>
        <v>1</v>
      </c>
      <c r="L27" s="8" t="s">
        <v>30</v>
      </c>
      <c r="M27" s="8" t="s">
        <v>73</v>
      </c>
      <c r="N27" s="73">
        <v>46281</v>
      </c>
      <c r="O27" s="69">
        <f>IF(M27="Learner Pool",IF(N27&lt;&gt;"",N27+46,""),"N/A")</f>
        <v>46327</v>
      </c>
      <c r="P27" s="70" t="str">
        <f ca="1">IF(M27="Innovation Pool","No duration limit",IF(OR(N27="",O27=""),"—",IF(O27&lt;TODAY(),"⚠ Review Overdue","Review in "&amp;TEXT(O27-TODAY(),"0")&amp;" days")))</f>
        <v>Review in 45 days</v>
      </c>
      <c r="Q27" s="8"/>
      <c r="R27" t="s">
        <v>150</v>
      </c>
      <c r="S27" s="8"/>
      <c r="T27" s="8">
        <v>100</v>
      </c>
      <c r="U27" s="72" t="s">
        <v>157</v>
      </c>
      <c r="V27" s="8" t="s">
        <v>34</v>
      </c>
      <c r="W27" s="72" t="s">
        <v>35</v>
      </c>
    </row>
    <row r="28" spans="1:23" ht="45.75">
      <c r="A28" s="29" t="s">
        <v>158</v>
      </c>
      <c r="B28" s="3" t="s">
        <v>159</v>
      </c>
      <c r="C28" s="3" t="s">
        <v>160</v>
      </c>
      <c r="D28" s="3" t="s">
        <v>39</v>
      </c>
      <c r="E28" s="3">
        <v>8</v>
      </c>
      <c r="F28" s="3" t="s">
        <v>161</v>
      </c>
      <c r="G28" s="3"/>
      <c r="H28" s="3"/>
      <c r="I28" s="82">
        <v>46266</v>
      </c>
      <c r="J28" s="3"/>
      <c r="K28" s="56">
        <f t="shared" ca="1" si="0"/>
        <v>16</v>
      </c>
      <c r="L28" s="8" t="s">
        <v>30</v>
      </c>
      <c r="M28" s="8" t="s">
        <v>73</v>
      </c>
      <c r="N28" s="65">
        <v>46266</v>
      </c>
      <c r="O28" s="51">
        <f>IF(M28="Learner Pool",IF(N28&lt;&gt;"",N28+46,""),"N/A")</f>
        <v>46312</v>
      </c>
      <c r="P28" s="52" t="str">
        <f ca="1">IF(M28="Innovation Pool","No duration limit",IF(OR(N28="",O28=""),"—",IF(O28&lt;TODAY(),"⚠ Review Overdue","Review in "&amp;TEXT(O28-TODAY(),"0")&amp;" days")))</f>
        <v>Review in 30 days</v>
      </c>
      <c r="Q28" s="3"/>
      <c r="R28" s="3" t="s">
        <v>150</v>
      </c>
      <c r="S28" s="3"/>
      <c r="T28" s="3">
        <v>100</v>
      </c>
      <c r="U28" s="3" t="s">
        <v>162</v>
      </c>
      <c r="V28" s="3" t="s">
        <v>34</v>
      </c>
      <c r="W28" s="6" t="s">
        <v>35</v>
      </c>
    </row>
    <row r="29" spans="1:23">
      <c r="A29" s="29"/>
    </row>
  </sheetData>
  <autoFilter ref="A1:R9" xr:uid="{00000000-0009-0000-0000-000000000000}"/>
  <mergeCells count="1">
    <mergeCell ref="A1:R1"/>
  </mergeCells>
  <conditionalFormatting sqref="K30:K98 K3:K28">
    <cfRule type="cellIs" dxfId="238" priority="3" operator="greaterThan">
      <formula>15</formula>
    </cfRule>
    <cfRule type="cellIs" dxfId="237" priority="4" operator="between">
      <formula>8</formula>
      <formula>15</formula>
    </cfRule>
    <cfRule type="cellIs" dxfId="236" priority="22" operator="greaterThan">
      <formula>15</formula>
    </cfRule>
    <cfRule type="cellIs" dxfId="235" priority="23" operator="between">
      <formula>8</formula>
      <formula>15</formula>
    </cfRule>
    <cfRule type="cellIs" dxfId="234" priority="29" operator="greaterThanOrEqual">
      <formula>365</formula>
    </cfRule>
    <cfRule type="cellIs" dxfId="233" priority="30" operator="between">
      <formula>180</formula>
      <formula>364</formula>
    </cfRule>
    <cfRule type="cellIs" dxfId="232" priority="31" operator="between">
      <formula>90</formula>
      <formula>179</formula>
    </cfRule>
    <cfRule type="cellIs" dxfId="231" priority="32" operator="between">
      <formula>1</formula>
      <formula>89</formula>
    </cfRule>
  </conditionalFormatting>
  <conditionalFormatting sqref="L30:L98 L3:L28">
    <cfRule type="cellIs" dxfId="230" priority="5" operator="equal">
      <formula>"Available"</formula>
    </cfRule>
    <cfRule type="cellIs" dxfId="229" priority="6" operator="equal">
      <formula>"In Training"</formula>
    </cfRule>
    <cfRule type="cellIs" dxfId="228" priority="7" operator="equal">
      <formula>"Shadow Mode"</formula>
    </cfRule>
    <cfRule type="cellIs" dxfId="227" priority="16" operator="equal">
      <formula>"Available"</formula>
    </cfRule>
    <cfRule type="cellIs" dxfId="226" priority="17" operator="equal">
      <formula>"In Training"</formula>
    </cfRule>
    <cfRule type="cellIs" dxfId="225" priority="18" operator="equal">
      <formula>"Shadow Mode"</formula>
    </cfRule>
    <cfRule type="cellIs" dxfId="224" priority="19" operator="equal">
      <formula>"On Leave"</formula>
    </cfRule>
    <cfRule type="cellIs" dxfId="223" priority="20" operator="equal">
      <formula>"Partial Available"</formula>
    </cfRule>
    <cfRule type="cellIs" dxfId="222" priority="21" operator="equal">
      <formula>"Allocated"</formula>
    </cfRule>
  </conditionalFormatting>
  <conditionalFormatting sqref="M30:M198 M3:M28">
    <cfRule type="cellIs" dxfId="221" priority="8" operator="equal">
      <formula>"Learner Pool"</formula>
    </cfRule>
    <cfRule type="cellIs" dxfId="220" priority="9" operator="equal">
      <formula>"Innovation Pool"</formula>
    </cfRule>
  </conditionalFormatting>
  <conditionalFormatting sqref="P3:P20 P30:P198 P22:P28">
    <cfRule type="expression" dxfId="219" priority="10">
      <formula>ISNUMBER(SEARCH("Overdue",P3))</formula>
    </cfRule>
    <cfRule type="cellIs" dxfId="218" priority="11" operator="equal">
      <formula>"No duration limit"</formula>
    </cfRule>
  </conditionalFormatting>
  <conditionalFormatting sqref="M18 M3:M16">
    <cfRule type="cellIs" dxfId="217" priority="12" operator="equal">
      <formula>"Learner Pool"</formula>
    </cfRule>
    <cfRule type="cellIs" dxfId="216" priority="13" operator="equal">
      <formula>"Innovation Pool"</formula>
    </cfRule>
  </conditionalFormatting>
  <conditionalFormatting sqref="P18 P3:P16">
    <cfRule type="expression" dxfId="215" priority="14">
      <formula>ISNUMBER(SEARCH("Overdue",P3))</formula>
    </cfRule>
    <cfRule type="cellIs" dxfId="214" priority="15" operator="equal">
      <formula>"No duration limit"</formula>
    </cfRule>
  </conditionalFormatting>
  <conditionalFormatting sqref="S30:S98 S3:S6 S8:S20 S23:S27">
    <cfRule type="colorScale" priority="24">
      <colorScale>
        <cfvo type="num" val="0"/>
        <cfvo type="num" val="60"/>
        <cfvo type="num" val="100"/>
        <color rgb="FFFCEBEB"/>
        <color rgb="FFFAEEDA"/>
        <color rgb="FFE1F5EE"/>
      </colorScale>
    </cfRule>
  </conditionalFormatting>
  <conditionalFormatting sqref="Q30:Q98 Q3:Q6 Q8:Q27">
    <cfRule type="expression" dxfId="213" priority="25">
      <formula>ISNUMBER(SEARCH("Critical",Q3))</formula>
    </cfRule>
    <cfRule type="expression" dxfId="212" priority="26">
      <formula>ISNUMBER(SEARCH("Action Needed",Q3))</formula>
    </cfRule>
    <cfRule type="expression" dxfId="211" priority="27">
      <formula>ISNUMBER(SEARCH("Watch",Q3))</formula>
    </cfRule>
    <cfRule type="expression" dxfId="210" priority="28">
      <formula>ISNUMBER(SEARCH("On Track",Q3))</formula>
    </cfRule>
  </conditionalFormatting>
  <conditionalFormatting sqref="M22">
    <cfRule type="cellIs" dxfId="209" priority="1" operator="equal">
      <formula>"Learner Pool"</formula>
    </cfRule>
    <cfRule type="cellIs" dxfId="208" priority="2" operator="equal">
      <formula>"Innovation Pool"</formula>
    </cfRule>
  </conditionalFormatting>
  <dataValidations count="3">
    <dataValidation type="list" sqref="L3 L8:L28 L30:L198" xr:uid="{00000000-0002-0000-0000-000000000000}">
      <formula1>"Available,In Training,Shadow Mode,On Leave,Allocated"</formula1>
    </dataValidation>
    <dataValidation type="list" sqref="M3:M28 M30:M198" xr:uid="{00000000-0002-0000-0000-000001000000}">
      <formula1>"Learner Pool,Innovation Pool"</formula1>
    </dataValidation>
    <dataValidation type="list" sqref="L3:L28 L30:L198" xr:uid="{00000000-0002-0000-0000-000002000000}">
      <formula1>"Available,Partial Available,In Training,Shadow Mode,On Leave,Allocated"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B1F1F"/>
  </sheetPr>
  <dimension ref="A1:L35"/>
  <sheetViews>
    <sheetView showGridLines="0" topLeftCell="A25" workbookViewId="0"/>
  </sheetViews>
  <sheetFormatPr defaultRowHeight="15"/>
  <cols>
    <col min="1" max="1" width="8" customWidth="1"/>
    <col min="2" max="2" width="18" customWidth="1"/>
    <col min="3" max="3" width="16" customWidth="1"/>
    <col min="4" max="5" width="10" customWidth="1"/>
    <col min="6" max="7" width="14" customWidth="1"/>
    <col min="8" max="8" width="12" customWidth="1"/>
    <col min="9" max="9" width="30" customWidth="1"/>
    <col min="10" max="10" width="16" customWidth="1"/>
    <col min="11" max="11" width="10" customWidth="1"/>
    <col min="12" max="12" width="42" customWidth="1"/>
  </cols>
  <sheetData>
    <row r="1" spans="1:12" ht="32.1" customHeight="1">
      <c r="A1" s="83" t="s">
        <v>163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</row>
    <row r="2" spans="1:12" ht="21.95" customHeight="1">
      <c r="A2" s="85" t="s">
        <v>164</v>
      </c>
      <c r="B2" s="115"/>
      <c r="C2" s="86" t="s">
        <v>165</v>
      </c>
      <c r="D2" s="115"/>
      <c r="E2" s="88" t="s">
        <v>166</v>
      </c>
      <c r="F2" s="115"/>
      <c r="G2" s="87" t="s">
        <v>167</v>
      </c>
      <c r="H2" s="115"/>
      <c r="I2" s="89" t="s">
        <v>168</v>
      </c>
      <c r="J2" s="116"/>
      <c r="K2" s="116"/>
      <c r="L2" s="115"/>
    </row>
    <row r="4" spans="1:12" ht="26.1" customHeight="1">
      <c r="A4" s="92" t="s">
        <v>169</v>
      </c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5"/>
    </row>
    <row r="5" spans="1:12" ht="18" customHeight="1">
      <c r="A5" s="12" t="s">
        <v>1</v>
      </c>
      <c r="B5" s="12" t="s">
        <v>170</v>
      </c>
      <c r="C5" s="12" t="s">
        <v>3</v>
      </c>
      <c r="D5" s="12" t="s">
        <v>171</v>
      </c>
      <c r="E5" s="12" t="s">
        <v>11</v>
      </c>
      <c r="F5" s="12" t="s">
        <v>12</v>
      </c>
      <c r="G5" s="12" t="s">
        <v>13</v>
      </c>
      <c r="H5" s="12" t="s">
        <v>172</v>
      </c>
      <c r="I5" s="12" t="s">
        <v>6</v>
      </c>
      <c r="J5" s="12" t="s">
        <v>21</v>
      </c>
      <c r="K5" s="12" t="s">
        <v>22</v>
      </c>
      <c r="L5" s="12" t="s">
        <v>173</v>
      </c>
    </row>
    <row r="6" spans="1:12" ht="18" customHeight="1">
      <c r="A6" s="13" t="s">
        <v>24</v>
      </c>
      <c r="B6" s="14" t="s">
        <v>25</v>
      </c>
      <c r="C6" s="14" t="s">
        <v>26</v>
      </c>
      <c r="D6" s="14" t="s">
        <v>27</v>
      </c>
      <c r="E6" s="13">
        <v>1286</v>
      </c>
      <c r="F6" s="13" t="s">
        <v>30</v>
      </c>
      <c r="G6" s="13" t="s">
        <v>31</v>
      </c>
      <c r="H6" s="13"/>
      <c r="I6" s="14" t="s">
        <v>28</v>
      </c>
      <c r="J6" s="14">
        <v>40</v>
      </c>
      <c r="K6" s="14" t="s">
        <v>33</v>
      </c>
      <c r="L6" s="14" t="s">
        <v>174</v>
      </c>
    </row>
    <row r="7" spans="1:12" ht="18" customHeight="1">
      <c r="A7" s="15" t="s">
        <v>36</v>
      </c>
      <c r="B7" s="16" t="s">
        <v>37</v>
      </c>
      <c r="C7" s="16" t="s">
        <v>38</v>
      </c>
      <c r="D7" s="16" t="s">
        <v>39</v>
      </c>
      <c r="E7" s="15">
        <v>961</v>
      </c>
      <c r="F7" s="15" t="s">
        <v>43</v>
      </c>
      <c r="G7" s="15" t="s">
        <v>31</v>
      </c>
      <c r="H7" s="15"/>
      <c r="I7" s="16" t="s">
        <v>175</v>
      </c>
      <c r="J7" s="16">
        <v>65</v>
      </c>
      <c r="K7" s="16" t="s">
        <v>45</v>
      </c>
      <c r="L7" s="16" t="s">
        <v>174</v>
      </c>
    </row>
    <row r="8" spans="1:12" ht="18" customHeight="1">
      <c r="A8" s="13" t="s">
        <v>47</v>
      </c>
      <c r="B8" s="14" t="s">
        <v>48</v>
      </c>
      <c r="C8" s="14" t="s">
        <v>49</v>
      </c>
      <c r="D8" s="14" t="s">
        <v>39</v>
      </c>
      <c r="E8" s="13">
        <v>905</v>
      </c>
      <c r="F8" s="13" t="s">
        <v>30</v>
      </c>
      <c r="G8" s="13" t="s">
        <v>31</v>
      </c>
      <c r="H8" s="13"/>
      <c r="I8" s="14" t="s">
        <v>176</v>
      </c>
      <c r="J8" s="14">
        <v>50</v>
      </c>
      <c r="K8" s="14" t="s">
        <v>53</v>
      </c>
      <c r="L8" s="14" t="s">
        <v>174</v>
      </c>
    </row>
    <row r="9" spans="1:12" ht="18" customHeight="1">
      <c r="A9" s="15" t="s">
        <v>60</v>
      </c>
      <c r="B9" s="16" t="s">
        <v>177</v>
      </c>
      <c r="C9" s="16" t="s">
        <v>62</v>
      </c>
      <c r="D9" s="16" t="s">
        <v>39</v>
      </c>
      <c r="E9" s="15">
        <v>624</v>
      </c>
      <c r="F9" s="15" t="s">
        <v>124</v>
      </c>
      <c r="G9" s="15" t="s">
        <v>31</v>
      </c>
      <c r="H9" s="15"/>
      <c r="I9" s="16" t="s">
        <v>178</v>
      </c>
      <c r="J9" s="16">
        <v>80</v>
      </c>
      <c r="K9" s="16" t="s">
        <v>89</v>
      </c>
      <c r="L9" s="16" t="s">
        <v>174</v>
      </c>
    </row>
    <row r="10" spans="1:12" ht="18" customHeight="1">
      <c r="A10" s="13" t="s">
        <v>55</v>
      </c>
      <c r="B10" s="14" t="s">
        <v>56</v>
      </c>
      <c r="C10" s="14" t="s">
        <v>57</v>
      </c>
      <c r="D10" s="14" t="s">
        <v>39</v>
      </c>
      <c r="E10" s="13">
        <v>611</v>
      </c>
      <c r="F10" s="13" t="s">
        <v>43</v>
      </c>
      <c r="G10" s="13" t="s">
        <v>31</v>
      </c>
      <c r="H10" s="13"/>
      <c r="I10" s="14" t="s">
        <v>179</v>
      </c>
      <c r="J10" s="14">
        <v>90</v>
      </c>
      <c r="K10" s="14" t="s">
        <v>45</v>
      </c>
      <c r="L10" s="14" t="s">
        <v>174</v>
      </c>
    </row>
    <row r="12" spans="1:12" ht="26.1" customHeight="1">
      <c r="A12" s="91" t="s">
        <v>180</v>
      </c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5"/>
    </row>
    <row r="13" spans="1:12" ht="18" customHeight="1">
      <c r="A13" s="17" t="s">
        <v>1</v>
      </c>
      <c r="B13" s="17" t="s">
        <v>170</v>
      </c>
      <c r="C13" s="17" t="s">
        <v>3</v>
      </c>
      <c r="D13" s="17" t="s">
        <v>171</v>
      </c>
      <c r="E13" s="17" t="s">
        <v>11</v>
      </c>
      <c r="F13" s="17" t="s">
        <v>12</v>
      </c>
      <c r="G13" s="17" t="s">
        <v>13</v>
      </c>
      <c r="H13" s="17" t="s">
        <v>172</v>
      </c>
      <c r="I13" s="17" t="s">
        <v>6</v>
      </c>
      <c r="J13" s="17" t="s">
        <v>21</v>
      </c>
      <c r="K13" s="17" t="s">
        <v>22</v>
      </c>
      <c r="L13" s="17" t="s">
        <v>173</v>
      </c>
    </row>
    <row r="14" spans="1:12" ht="18" customHeight="1">
      <c r="A14" s="13" t="s">
        <v>67</v>
      </c>
      <c r="B14" s="14" t="s">
        <v>181</v>
      </c>
      <c r="C14" s="14" t="s">
        <v>69</v>
      </c>
      <c r="D14" s="14" t="s">
        <v>70</v>
      </c>
      <c r="E14" s="13">
        <v>327</v>
      </c>
      <c r="F14" s="13" t="s">
        <v>182</v>
      </c>
      <c r="G14" s="13" t="s">
        <v>31</v>
      </c>
      <c r="H14" s="13"/>
      <c r="I14" s="14" t="s">
        <v>183</v>
      </c>
      <c r="J14" s="14">
        <v>90</v>
      </c>
      <c r="K14" s="14" t="s">
        <v>75</v>
      </c>
      <c r="L14" s="14" t="s">
        <v>184</v>
      </c>
    </row>
    <row r="15" spans="1:12" ht="18" customHeight="1">
      <c r="A15" s="15" t="s">
        <v>77</v>
      </c>
      <c r="B15" s="16" t="s">
        <v>68</v>
      </c>
      <c r="C15" s="16" t="s">
        <v>69</v>
      </c>
      <c r="D15" s="16" t="s">
        <v>70</v>
      </c>
      <c r="E15" s="15">
        <v>327</v>
      </c>
      <c r="F15" s="15" t="s">
        <v>64</v>
      </c>
      <c r="G15" s="15" t="s">
        <v>31</v>
      </c>
      <c r="H15" s="15"/>
      <c r="I15" s="16" t="s">
        <v>185</v>
      </c>
      <c r="J15" s="16"/>
      <c r="K15" s="16" t="s">
        <v>75</v>
      </c>
      <c r="L15" s="16" t="s">
        <v>184</v>
      </c>
    </row>
    <row r="16" spans="1:12" ht="18" customHeight="1">
      <c r="A16" s="13" t="s">
        <v>81</v>
      </c>
      <c r="B16" s="14" t="s">
        <v>78</v>
      </c>
      <c r="C16" s="14" t="s">
        <v>69</v>
      </c>
      <c r="D16" s="14" t="s">
        <v>70</v>
      </c>
      <c r="E16" s="13">
        <v>312</v>
      </c>
      <c r="F16" s="13" t="s">
        <v>30</v>
      </c>
      <c r="G16" s="13" t="s">
        <v>31</v>
      </c>
      <c r="H16" s="13"/>
      <c r="I16" s="14" t="s">
        <v>186</v>
      </c>
      <c r="J16" s="14">
        <v>85</v>
      </c>
      <c r="K16" s="14" t="s">
        <v>75</v>
      </c>
      <c r="L16" s="14" t="s">
        <v>184</v>
      </c>
    </row>
    <row r="17" spans="1:12" ht="18" customHeight="1">
      <c r="A17" s="15" t="s">
        <v>90</v>
      </c>
      <c r="B17" s="16" t="s">
        <v>82</v>
      </c>
      <c r="C17" s="16" t="s">
        <v>38</v>
      </c>
      <c r="D17" s="16" t="s">
        <v>39</v>
      </c>
      <c r="E17" s="15">
        <v>268</v>
      </c>
      <c r="F17" s="15" t="s">
        <v>30</v>
      </c>
      <c r="G17" s="15" t="s">
        <v>31</v>
      </c>
      <c r="H17" s="15"/>
      <c r="I17" s="16" t="s">
        <v>187</v>
      </c>
      <c r="J17" s="16">
        <v>90</v>
      </c>
      <c r="K17" s="16" t="s">
        <v>45</v>
      </c>
      <c r="L17" s="16" t="s">
        <v>184</v>
      </c>
    </row>
    <row r="18" spans="1:12" ht="18" customHeight="1">
      <c r="A18" s="13" t="s">
        <v>97</v>
      </c>
      <c r="B18" s="14" t="s">
        <v>85</v>
      </c>
      <c r="C18" s="14" t="s">
        <v>62</v>
      </c>
      <c r="D18" s="14" t="s">
        <v>39</v>
      </c>
      <c r="E18" s="13">
        <v>267</v>
      </c>
      <c r="F18" s="13" t="s">
        <v>30</v>
      </c>
      <c r="G18" s="13" t="s">
        <v>31</v>
      </c>
      <c r="H18" s="13"/>
      <c r="I18" s="14" t="s">
        <v>86</v>
      </c>
      <c r="J18" s="14">
        <v>90</v>
      </c>
      <c r="K18" s="14" t="s">
        <v>89</v>
      </c>
      <c r="L18" s="14" t="s">
        <v>184</v>
      </c>
    </row>
    <row r="19" spans="1:12" ht="18" customHeight="1">
      <c r="A19" s="15" t="s">
        <v>106</v>
      </c>
      <c r="B19" s="16" t="s">
        <v>98</v>
      </c>
      <c r="C19" s="16" t="s">
        <v>49</v>
      </c>
      <c r="D19" s="16" t="s">
        <v>39</v>
      </c>
      <c r="E19" s="15">
        <v>262</v>
      </c>
      <c r="F19" s="15" t="s">
        <v>30</v>
      </c>
      <c r="G19" s="15" t="s">
        <v>31</v>
      </c>
      <c r="H19" s="15"/>
      <c r="I19" s="16" t="s">
        <v>99</v>
      </c>
      <c r="J19" s="16"/>
      <c r="K19" s="16"/>
      <c r="L19" s="16" t="s">
        <v>184</v>
      </c>
    </row>
    <row r="21" spans="1:12" ht="26.1" customHeight="1">
      <c r="A21" s="90" t="s">
        <v>188</v>
      </c>
      <c r="B21" s="114"/>
      <c r="C21" s="114"/>
      <c r="D21" s="114"/>
      <c r="E21" s="114"/>
      <c r="F21" s="114"/>
      <c r="G21" s="114"/>
      <c r="H21" s="114"/>
      <c r="I21" s="114"/>
      <c r="J21" s="114"/>
      <c r="K21" s="114"/>
      <c r="L21" s="114"/>
    </row>
    <row r="22" spans="1:12" ht="18" customHeight="1">
      <c r="A22" s="18" t="s">
        <v>1</v>
      </c>
      <c r="B22" s="18" t="s">
        <v>170</v>
      </c>
      <c r="C22" s="18" t="s">
        <v>3</v>
      </c>
      <c r="D22" s="18" t="s">
        <v>171</v>
      </c>
      <c r="E22" s="18" t="s">
        <v>11</v>
      </c>
      <c r="F22" s="18" t="s">
        <v>12</v>
      </c>
      <c r="G22" s="18" t="s">
        <v>13</v>
      </c>
      <c r="H22" s="18" t="s">
        <v>172</v>
      </c>
      <c r="I22" s="18" t="s">
        <v>6</v>
      </c>
      <c r="J22" s="18" t="s">
        <v>21</v>
      </c>
      <c r="K22" s="18" t="s">
        <v>22</v>
      </c>
      <c r="L22" s="18" t="s">
        <v>173</v>
      </c>
    </row>
    <row r="23" spans="1:12" ht="18" customHeight="1">
      <c r="A23" s="13" t="s">
        <v>112</v>
      </c>
      <c r="B23" s="14" t="s">
        <v>101</v>
      </c>
      <c r="C23" s="14" t="s">
        <v>102</v>
      </c>
      <c r="D23" s="14" t="s">
        <v>39</v>
      </c>
      <c r="E23" s="13">
        <v>174</v>
      </c>
      <c r="F23" s="13" t="s">
        <v>64</v>
      </c>
      <c r="G23" s="13" t="s">
        <v>31</v>
      </c>
      <c r="H23" s="13"/>
      <c r="I23" s="14" t="s">
        <v>103</v>
      </c>
      <c r="J23" s="14">
        <v>100</v>
      </c>
      <c r="K23" s="14" t="s">
        <v>105</v>
      </c>
      <c r="L23" s="14" t="s">
        <v>189</v>
      </c>
    </row>
    <row r="24" spans="1:12" ht="18" customHeight="1">
      <c r="A24" s="15" t="s">
        <v>100</v>
      </c>
      <c r="B24" s="16" t="s">
        <v>91</v>
      </c>
      <c r="C24" s="16" t="s">
        <v>92</v>
      </c>
      <c r="D24" s="16" t="s">
        <v>39</v>
      </c>
      <c r="E24" s="15">
        <v>145</v>
      </c>
      <c r="F24" s="15" t="s">
        <v>30</v>
      </c>
      <c r="G24" s="15" t="s">
        <v>31</v>
      </c>
      <c r="H24" s="15"/>
      <c r="I24" s="16" t="s">
        <v>93</v>
      </c>
      <c r="J24" s="16">
        <v>100</v>
      </c>
      <c r="K24" s="16" t="s">
        <v>92</v>
      </c>
      <c r="L24" s="16" t="s">
        <v>189</v>
      </c>
    </row>
    <row r="25" spans="1:12" ht="18" customHeight="1">
      <c r="A25" s="13" t="s">
        <v>116</v>
      </c>
      <c r="B25" s="14" t="s">
        <v>107</v>
      </c>
      <c r="C25" s="14" t="s">
        <v>102</v>
      </c>
      <c r="D25" s="14" t="s">
        <v>39</v>
      </c>
      <c r="E25" s="13">
        <v>115</v>
      </c>
      <c r="F25" s="13" t="s">
        <v>30</v>
      </c>
      <c r="G25" s="13" t="s">
        <v>31</v>
      </c>
      <c r="H25" s="13"/>
      <c r="I25" s="14" t="s">
        <v>108</v>
      </c>
      <c r="J25" s="14">
        <v>100</v>
      </c>
      <c r="K25" s="14" t="s">
        <v>111</v>
      </c>
      <c r="L25" s="14" t="s">
        <v>189</v>
      </c>
    </row>
    <row r="26" spans="1:12" ht="18" customHeight="1">
      <c r="A26" s="15" t="s">
        <v>119</v>
      </c>
      <c r="B26" s="16" t="s">
        <v>113</v>
      </c>
      <c r="C26" s="16" t="s">
        <v>62</v>
      </c>
      <c r="D26" s="16" t="s">
        <v>39</v>
      </c>
      <c r="E26" s="15">
        <v>115</v>
      </c>
      <c r="F26" s="15" t="s">
        <v>30</v>
      </c>
      <c r="G26" s="15" t="s">
        <v>31</v>
      </c>
      <c r="H26" s="15"/>
      <c r="I26" s="16" t="s">
        <v>190</v>
      </c>
      <c r="J26" s="16">
        <v>100</v>
      </c>
      <c r="K26" s="16" t="s">
        <v>115</v>
      </c>
      <c r="L26" s="16" t="s">
        <v>189</v>
      </c>
    </row>
    <row r="27" spans="1:12" ht="18" customHeight="1">
      <c r="A27" s="13" t="s">
        <v>126</v>
      </c>
      <c r="B27" s="14" t="s">
        <v>191</v>
      </c>
      <c r="C27" s="14" t="s">
        <v>62</v>
      </c>
      <c r="D27" s="14" t="s">
        <v>39</v>
      </c>
      <c r="E27" s="13">
        <v>115</v>
      </c>
      <c r="F27" s="13" t="s">
        <v>182</v>
      </c>
      <c r="G27" s="13" t="s">
        <v>73</v>
      </c>
      <c r="H27" s="13"/>
      <c r="I27" s="14" t="s">
        <v>86</v>
      </c>
      <c r="J27" s="14"/>
      <c r="K27" s="14"/>
      <c r="L27" s="14" t="s">
        <v>189</v>
      </c>
    </row>
    <row r="28" spans="1:12" ht="18" customHeight="1">
      <c r="A28" s="15" t="s">
        <v>128</v>
      </c>
      <c r="B28" s="16" t="s">
        <v>192</v>
      </c>
      <c r="C28" s="16" t="s">
        <v>121</v>
      </c>
      <c r="D28" s="16" t="s">
        <v>122</v>
      </c>
      <c r="E28" s="15">
        <v>100</v>
      </c>
      <c r="F28" s="15" t="s">
        <v>124</v>
      </c>
      <c r="G28" s="15" t="s">
        <v>73</v>
      </c>
      <c r="H28" s="15"/>
      <c r="I28" s="16" t="s">
        <v>93</v>
      </c>
      <c r="J28" s="16"/>
      <c r="K28" s="16"/>
      <c r="L28" s="16" t="s">
        <v>189</v>
      </c>
    </row>
    <row r="30" spans="1:12" ht="26.1" customHeight="1">
      <c r="A30" s="84" t="s">
        <v>193</v>
      </c>
      <c r="B30" s="114"/>
      <c r="C30" s="114"/>
      <c r="D30" s="114"/>
      <c r="E30" s="114"/>
      <c r="F30" s="114"/>
      <c r="G30" s="114"/>
      <c r="H30" s="114"/>
      <c r="I30" s="114"/>
      <c r="J30" s="114"/>
      <c r="K30" s="114"/>
      <c r="L30" s="114"/>
    </row>
    <row r="31" spans="1:12" ht="18" customHeight="1">
      <c r="A31" s="19" t="s">
        <v>1</v>
      </c>
      <c r="B31" s="19" t="s">
        <v>170</v>
      </c>
      <c r="C31" s="19" t="s">
        <v>3</v>
      </c>
      <c r="D31" s="19" t="s">
        <v>171</v>
      </c>
      <c r="E31" s="19" t="s">
        <v>11</v>
      </c>
      <c r="F31" s="19" t="s">
        <v>12</v>
      </c>
      <c r="G31" s="19" t="s">
        <v>13</v>
      </c>
      <c r="H31" s="19" t="s">
        <v>172</v>
      </c>
      <c r="I31" s="19" t="s">
        <v>6</v>
      </c>
      <c r="J31" s="19" t="s">
        <v>21</v>
      </c>
      <c r="K31" s="19" t="s">
        <v>22</v>
      </c>
      <c r="L31" s="19" t="s">
        <v>173</v>
      </c>
    </row>
    <row r="32" spans="1:12" ht="18" customHeight="1">
      <c r="A32" s="13" t="s">
        <v>133</v>
      </c>
      <c r="B32" s="14" t="s">
        <v>194</v>
      </c>
      <c r="C32" s="14" t="s">
        <v>121</v>
      </c>
      <c r="D32" s="14" t="s">
        <v>122</v>
      </c>
      <c r="E32" s="13">
        <v>40</v>
      </c>
      <c r="F32" s="13" t="s">
        <v>124</v>
      </c>
      <c r="G32" s="13" t="s">
        <v>73</v>
      </c>
      <c r="H32" s="13"/>
      <c r="I32" s="14" t="s">
        <v>104</v>
      </c>
      <c r="J32" s="14"/>
      <c r="K32" s="14"/>
      <c r="L32" s="14" t="s">
        <v>195</v>
      </c>
    </row>
    <row r="33" spans="1:12" ht="18" customHeight="1">
      <c r="A33" s="15" t="s">
        <v>130</v>
      </c>
      <c r="B33" s="16" t="s">
        <v>120</v>
      </c>
      <c r="C33" s="16" t="s">
        <v>121</v>
      </c>
      <c r="D33" s="16" t="s">
        <v>122</v>
      </c>
      <c r="E33" s="15">
        <v>33</v>
      </c>
      <c r="F33" s="15" t="s">
        <v>124</v>
      </c>
      <c r="G33" s="15" t="s">
        <v>73</v>
      </c>
      <c r="H33" s="15"/>
      <c r="I33" s="16" t="s">
        <v>123</v>
      </c>
      <c r="J33" s="16"/>
      <c r="K33" s="16"/>
      <c r="L33" s="16" t="s">
        <v>195</v>
      </c>
    </row>
    <row r="34" spans="1:12" ht="18" customHeight="1">
      <c r="A34" s="13" t="s">
        <v>138</v>
      </c>
      <c r="B34" s="14" t="s">
        <v>127</v>
      </c>
      <c r="C34" s="14" t="s">
        <v>121</v>
      </c>
      <c r="D34" s="14" t="s">
        <v>122</v>
      </c>
      <c r="E34" s="13">
        <v>2</v>
      </c>
      <c r="F34" s="13" t="s">
        <v>124</v>
      </c>
      <c r="G34" s="13" t="s">
        <v>73</v>
      </c>
      <c r="H34" s="13"/>
      <c r="I34" s="14" t="s">
        <v>104</v>
      </c>
      <c r="J34" s="14"/>
      <c r="K34" s="14"/>
      <c r="L34" s="14" t="s">
        <v>195</v>
      </c>
    </row>
    <row r="35" spans="1:12" ht="18" customHeight="1">
      <c r="A35" s="15" t="s">
        <v>143</v>
      </c>
      <c r="B35" s="16" t="s">
        <v>129</v>
      </c>
      <c r="C35" s="16" t="s">
        <v>121</v>
      </c>
      <c r="D35" s="16" t="s">
        <v>122</v>
      </c>
      <c r="E35" s="15">
        <v>2</v>
      </c>
      <c r="F35" s="15" t="s">
        <v>124</v>
      </c>
      <c r="G35" s="15" t="s">
        <v>73</v>
      </c>
      <c r="H35" s="15"/>
      <c r="I35" s="16" t="s">
        <v>104</v>
      </c>
      <c r="J35" s="16"/>
      <c r="K35" s="16"/>
      <c r="L35" s="16" t="s">
        <v>195</v>
      </c>
    </row>
  </sheetData>
  <mergeCells count="10">
    <mergeCell ref="A1:L1"/>
    <mergeCell ref="I2:L2"/>
    <mergeCell ref="A21:L21"/>
    <mergeCell ref="A12:L12"/>
    <mergeCell ref="A4:L4"/>
    <mergeCell ref="A30:L30"/>
    <mergeCell ref="A2:B2"/>
    <mergeCell ref="C2:D2"/>
    <mergeCell ref="G2:H2"/>
    <mergeCell ref="E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77DD"/>
  </sheetPr>
  <dimension ref="A1:L3"/>
  <sheetViews>
    <sheetView showGridLines="0" workbookViewId="0">
      <pane ySplit="2" topLeftCell="A3" activePane="bottomLeft" state="frozen"/>
      <selection pane="bottomLeft" activeCell="B7" sqref="B7"/>
    </sheetView>
  </sheetViews>
  <sheetFormatPr defaultRowHeight="15"/>
  <cols>
    <col min="1" max="1" width="10" customWidth="1"/>
    <col min="2" max="2" width="20" customWidth="1"/>
    <col min="3" max="3" width="14" customWidth="1"/>
    <col min="4" max="4" width="16" customWidth="1"/>
    <col min="5" max="5" width="14" customWidth="1"/>
    <col min="6" max="6" width="12" customWidth="1"/>
    <col min="7" max="7" width="14" customWidth="1"/>
    <col min="8" max="9" width="16" customWidth="1"/>
    <col min="10" max="10" width="14" customWidth="1"/>
    <col min="11" max="11" width="16" customWidth="1"/>
    <col min="12" max="12" width="24" customWidth="1"/>
  </cols>
  <sheetData>
    <row r="1" spans="1:12" ht="27.95" customHeight="1">
      <c r="A1" s="93" t="s">
        <v>196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</row>
    <row r="2" spans="1:12" ht="21.95" customHeight="1">
      <c r="A2" s="36" t="s">
        <v>1</v>
      </c>
      <c r="B2" s="36" t="s">
        <v>170</v>
      </c>
      <c r="C2" s="36" t="s">
        <v>14</v>
      </c>
      <c r="D2" s="36" t="s">
        <v>15</v>
      </c>
      <c r="E2" s="36" t="s">
        <v>197</v>
      </c>
      <c r="F2" s="36" t="s">
        <v>198</v>
      </c>
      <c r="G2" s="36" t="s">
        <v>199</v>
      </c>
      <c r="H2" s="36" t="s">
        <v>200</v>
      </c>
      <c r="I2" s="36" t="s">
        <v>201</v>
      </c>
      <c r="J2" s="36" t="s">
        <v>202</v>
      </c>
      <c r="K2" s="36" t="s">
        <v>203</v>
      </c>
      <c r="L2" s="36" t="s">
        <v>23</v>
      </c>
    </row>
    <row r="3" spans="1:12" ht="20.100000000000001" customHeight="1">
      <c r="A3" s="22" t="s">
        <v>126</v>
      </c>
      <c r="B3" s="22" t="s">
        <v>204</v>
      </c>
      <c r="C3" s="23">
        <v>46113</v>
      </c>
      <c r="D3" s="23">
        <v>46172</v>
      </c>
      <c r="E3" s="22" t="s">
        <v>205</v>
      </c>
      <c r="F3" s="37">
        <v>60</v>
      </c>
      <c r="G3" s="22" t="s">
        <v>206</v>
      </c>
      <c r="H3" s="22" t="s">
        <v>207</v>
      </c>
      <c r="I3" s="22" t="s">
        <v>208</v>
      </c>
      <c r="J3" s="31">
        <v>46203</v>
      </c>
      <c r="K3" s="22"/>
      <c r="L3" s="22" t="s">
        <v>209</v>
      </c>
    </row>
  </sheetData>
  <autoFilter ref="A2:L2" xr:uid="{00000000-0009-0000-0000-000002000000}"/>
  <mergeCells count="1">
    <mergeCell ref="A1:L1"/>
  </mergeCells>
  <conditionalFormatting sqref="I3:I46">
    <cfRule type="cellIs" dxfId="207" priority="1" operator="equal">
      <formula>"Promoted"</formula>
    </cfRule>
    <cfRule type="cellIs" dxfId="206" priority="2" operator="equal">
      <formula>"Exit"</formula>
    </cfRule>
    <cfRule type="cellIs" dxfId="205" priority="3" operator="equal">
      <formula>"Pending"</formula>
    </cfRule>
  </conditionalFormatting>
  <conditionalFormatting sqref="I3:I50">
    <cfRule type="cellIs" dxfId="204" priority="4" operator="equal">
      <formula>"Release"</formula>
    </cfRule>
    <cfRule type="cellIs" dxfId="203" priority="5" operator="equal">
      <formula>"Deferred"</formula>
    </cfRule>
  </conditionalFormatting>
  <dataValidations count="1">
    <dataValidation type="list" allowBlank="1" sqref="I3:I100" xr:uid="{00000000-0002-0000-0200-000000000000}">
      <formula1>"Pending,Promoted,Exit,Release,Deferred"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D9E75"/>
  </sheetPr>
  <dimension ref="A1:P24"/>
  <sheetViews>
    <sheetView showGridLines="0" workbookViewId="0">
      <pane xSplit="2" ySplit="2" topLeftCell="C14" activePane="bottomRight" state="frozen"/>
      <selection pane="bottomRight" activeCell="P24" sqref="P24"/>
      <selection pane="bottomLeft"/>
      <selection pane="topRight"/>
    </sheetView>
  </sheetViews>
  <sheetFormatPr defaultRowHeight="15"/>
  <cols>
    <col min="1" max="1" width="10" customWidth="1"/>
    <col min="2" max="2" width="20" customWidth="1"/>
    <col min="3" max="15" width="11" customWidth="1"/>
    <col min="16" max="16" width="12" customWidth="1"/>
  </cols>
  <sheetData>
    <row r="1" spans="1:16" ht="27.95" customHeight="1">
      <c r="A1" s="93" t="s">
        <v>210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</row>
    <row r="2" spans="1:16" ht="21.95" customHeight="1">
      <c r="A2" s="38" t="s">
        <v>1</v>
      </c>
      <c r="B2" s="38" t="s">
        <v>170</v>
      </c>
      <c r="C2" s="38" t="s">
        <v>211</v>
      </c>
      <c r="D2" s="38" t="s">
        <v>212</v>
      </c>
      <c r="E2" s="38" t="s">
        <v>103</v>
      </c>
      <c r="F2" s="38" t="s">
        <v>104</v>
      </c>
      <c r="G2" s="38" t="s">
        <v>109</v>
      </c>
      <c r="H2" s="38" t="s">
        <v>213</v>
      </c>
      <c r="I2" s="38" t="s">
        <v>214</v>
      </c>
      <c r="J2" s="38" t="s">
        <v>215</v>
      </c>
      <c r="K2" s="38" t="s">
        <v>216</v>
      </c>
      <c r="L2" s="38" t="s">
        <v>217</v>
      </c>
      <c r="M2" s="38" t="s">
        <v>218</v>
      </c>
      <c r="N2" s="38" t="s">
        <v>219</v>
      </c>
      <c r="O2" s="38" t="s">
        <v>220</v>
      </c>
      <c r="P2" s="38" t="s">
        <v>221</v>
      </c>
    </row>
    <row r="3" spans="1:16" ht="20.100000000000001" customHeight="1">
      <c r="A3" s="22" t="s">
        <v>24</v>
      </c>
      <c r="B3" s="22" t="s">
        <v>25</v>
      </c>
      <c r="C3" s="22">
        <v>0</v>
      </c>
      <c r="D3" s="22">
        <v>0</v>
      </c>
      <c r="E3" s="22">
        <v>0</v>
      </c>
      <c r="F3" s="22">
        <v>0</v>
      </c>
      <c r="G3" s="22">
        <v>0</v>
      </c>
      <c r="H3" s="22">
        <v>0</v>
      </c>
      <c r="I3" s="22">
        <v>0</v>
      </c>
      <c r="J3" s="22">
        <v>0</v>
      </c>
      <c r="K3" s="22">
        <v>0</v>
      </c>
      <c r="L3" s="22">
        <v>0</v>
      </c>
      <c r="M3" s="22">
        <v>0</v>
      </c>
      <c r="N3" s="22">
        <v>0</v>
      </c>
      <c r="O3" s="22">
        <v>0</v>
      </c>
      <c r="P3" s="39">
        <f>IFERROR(AVERAGEIF(C3:O3,"&gt;0"),0)</f>
        <v>0</v>
      </c>
    </row>
    <row r="4" spans="1:16" ht="20.100000000000001" customHeight="1">
      <c r="A4" s="29" t="s">
        <v>36</v>
      </c>
      <c r="B4" s="29" t="s">
        <v>37</v>
      </c>
      <c r="C4" s="29">
        <v>0</v>
      </c>
      <c r="D4" s="29">
        <v>0</v>
      </c>
      <c r="E4" s="29">
        <v>0</v>
      </c>
      <c r="F4" s="29">
        <v>2</v>
      </c>
      <c r="G4" s="29">
        <v>2</v>
      </c>
      <c r="H4" s="29">
        <v>2</v>
      </c>
      <c r="I4" s="29">
        <v>2</v>
      </c>
      <c r="J4" s="29">
        <v>2</v>
      </c>
      <c r="K4" s="29">
        <v>0</v>
      </c>
      <c r="L4" s="29">
        <v>0</v>
      </c>
      <c r="M4" s="29">
        <v>2</v>
      </c>
      <c r="N4" s="29">
        <v>2</v>
      </c>
      <c r="O4" s="29">
        <v>2</v>
      </c>
      <c r="P4" s="40">
        <f>IFERROR(AVERAGEIF(C4:O4,"&gt;0"),0)</f>
        <v>2</v>
      </c>
    </row>
    <row r="5" spans="1:16" ht="20.100000000000001" customHeight="1">
      <c r="A5" s="22" t="s">
        <v>47</v>
      </c>
      <c r="B5" s="22" t="s">
        <v>48</v>
      </c>
      <c r="C5" s="22">
        <v>0</v>
      </c>
      <c r="D5" s="22">
        <v>0</v>
      </c>
      <c r="E5" s="22">
        <v>0</v>
      </c>
      <c r="F5" s="22">
        <v>2</v>
      </c>
      <c r="G5" s="22">
        <v>2</v>
      </c>
      <c r="H5" s="22">
        <v>0</v>
      </c>
      <c r="I5" s="22">
        <v>2</v>
      </c>
      <c r="J5" s="22">
        <v>0</v>
      </c>
      <c r="K5" s="22">
        <v>0</v>
      </c>
      <c r="L5" s="22">
        <v>0</v>
      </c>
      <c r="M5" s="22">
        <v>2</v>
      </c>
      <c r="N5" s="22">
        <v>1</v>
      </c>
      <c r="O5" s="22">
        <v>0</v>
      </c>
      <c r="P5" s="39">
        <f>IFERROR(AVERAGEIF(C5:O5,"&gt;0"),0)</f>
        <v>1.8</v>
      </c>
    </row>
    <row r="6" spans="1:16" ht="20.100000000000001" customHeight="1">
      <c r="A6" s="29" t="s">
        <v>55</v>
      </c>
      <c r="B6" s="29" t="s">
        <v>56</v>
      </c>
      <c r="C6" s="29">
        <v>0</v>
      </c>
      <c r="D6" s="29">
        <v>0</v>
      </c>
      <c r="E6" s="29">
        <v>0</v>
      </c>
      <c r="F6" s="29">
        <v>2</v>
      </c>
      <c r="G6" s="29">
        <v>2</v>
      </c>
      <c r="H6" s="29">
        <v>2</v>
      </c>
      <c r="I6" s="29">
        <v>2</v>
      </c>
      <c r="J6" s="29">
        <v>2</v>
      </c>
      <c r="K6" s="29">
        <v>0</v>
      </c>
      <c r="L6" s="29">
        <v>0</v>
      </c>
      <c r="M6" s="29">
        <v>2</v>
      </c>
      <c r="N6" s="29">
        <v>2</v>
      </c>
      <c r="O6" s="29">
        <v>2</v>
      </c>
      <c r="P6" s="40">
        <f>IFERROR(AVERAGEIF(C6:O6,"&gt;0"),0)</f>
        <v>2</v>
      </c>
    </row>
    <row r="7" spans="1:16" ht="20.100000000000001" customHeight="1">
      <c r="A7" s="22" t="s">
        <v>60</v>
      </c>
      <c r="B7" s="22" t="s">
        <v>177</v>
      </c>
      <c r="C7" s="22">
        <v>1</v>
      </c>
      <c r="D7" s="22">
        <v>1</v>
      </c>
      <c r="E7" s="22">
        <v>0</v>
      </c>
      <c r="F7" s="22">
        <v>3</v>
      </c>
      <c r="G7" s="22">
        <v>2</v>
      </c>
      <c r="H7" s="22">
        <v>1</v>
      </c>
      <c r="I7" s="22">
        <v>1</v>
      </c>
      <c r="J7" s="22">
        <v>1</v>
      </c>
      <c r="K7" s="22">
        <v>0</v>
      </c>
      <c r="L7" s="22">
        <v>0</v>
      </c>
      <c r="M7" s="22">
        <v>0</v>
      </c>
      <c r="N7" s="22">
        <v>0</v>
      </c>
      <c r="O7" s="22">
        <v>2</v>
      </c>
      <c r="P7" s="39">
        <f>IFERROR(AVERAGEIF(C7:O7,"&gt;0"),0)</f>
        <v>1.5</v>
      </c>
    </row>
    <row r="8" spans="1:16" ht="20.100000000000001" customHeight="1">
      <c r="A8" s="29" t="s">
        <v>67</v>
      </c>
      <c r="B8" s="29" t="s">
        <v>181</v>
      </c>
      <c r="C8" s="29">
        <v>0</v>
      </c>
      <c r="D8" s="29">
        <v>0</v>
      </c>
      <c r="E8" s="29">
        <v>0</v>
      </c>
      <c r="F8" s="29">
        <v>1</v>
      </c>
      <c r="G8" s="29">
        <v>0</v>
      </c>
      <c r="H8" s="29">
        <v>0</v>
      </c>
      <c r="I8" s="29">
        <v>0</v>
      </c>
      <c r="J8" s="29">
        <v>0</v>
      </c>
      <c r="K8" s="29">
        <v>0</v>
      </c>
      <c r="L8" s="29">
        <v>2</v>
      </c>
      <c r="M8" s="29">
        <v>0</v>
      </c>
      <c r="N8" s="29">
        <v>2</v>
      </c>
      <c r="O8" s="29">
        <v>0</v>
      </c>
      <c r="P8" s="40">
        <f>IFERROR(AVERAGEIF(C8:O8,"&gt;0"),0)</f>
        <v>1.6666666666666667</v>
      </c>
    </row>
    <row r="9" spans="1:16" ht="20.100000000000001" customHeight="1">
      <c r="A9" s="22" t="s">
        <v>77</v>
      </c>
      <c r="B9" s="22" t="s">
        <v>68</v>
      </c>
      <c r="C9" s="22">
        <v>0</v>
      </c>
      <c r="D9" s="22">
        <v>0</v>
      </c>
      <c r="E9" s="22">
        <v>0</v>
      </c>
      <c r="F9" s="22">
        <v>1</v>
      </c>
      <c r="G9" s="22">
        <v>0</v>
      </c>
      <c r="H9" s="22">
        <v>0</v>
      </c>
      <c r="I9" s="22">
        <v>1</v>
      </c>
      <c r="J9" s="22">
        <v>1</v>
      </c>
      <c r="K9" s="22">
        <v>0</v>
      </c>
      <c r="L9" s="22">
        <v>2</v>
      </c>
      <c r="M9" s="22">
        <v>0</v>
      </c>
      <c r="N9" s="22">
        <v>1</v>
      </c>
      <c r="O9" s="22">
        <v>1</v>
      </c>
      <c r="P9" s="39">
        <f>IFERROR(AVERAGEIF(C9:O9,"&gt;0"),0)</f>
        <v>1.1666666666666667</v>
      </c>
    </row>
    <row r="10" spans="1:16" ht="20.100000000000001" customHeight="1">
      <c r="A10" s="32" t="s">
        <v>81</v>
      </c>
      <c r="B10" s="32" t="s">
        <v>78</v>
      </c>
      <c r="C10" s="32">
        <v>0</v>
      </c>
      <c r="D10" s="32">
        <v>0</v>
      </c>
      <c r="E10" s="32">
        <v>0</v>
      </c>
      <c r="F10" s="32">
        <v>1</v>
      </c>
      <c r="G10" s="32">
        <v>1</v>
      </c>
      <c r="H10" s="32">
        <v>1</v>
      </c>
      <c r="I10" s="32">
        <v>0</v>
      </c>
      <c r="J10" s="32">
        <v>1</v>
      </c>
      <c r="K10" s="32">
        <v>2</v>
      </c>
      <c r="L10" s="32">
        <v>2</v>
      </c>
      <c r="M10" s="32">
        <v>0</v>
      </c>
      <c r="N10" s="32">
        <v>1</v>
      </c>
      <c r="O10" s="32">
        <v>1</v>
      </c>
      <c r="P10" s="41">
        <f>IFERROR(AVERAGEIF(C10:O10,"&gt;0"),0)</f>
        <v>1.25</v>
      </c>
    </row>
    <row r="11" spans="1:16" ht="14.25" customHeight="1">
      <c r="A11" s="35" t="s">
        <v>84</v>
      </c>
      <c r="B11" s="10" t="s">
        <v>222</v>
      </c>
      <c r="C11" s="3">
        <v>0</v>
      </c>
      <c r="D11" s="3">
        <v>0</v>
      </c>
      <c r="E11" s="3">
        <v>0</v>
      </c>
      <c r="F11" s="3">
        <v>2</v>
      </c>
      <c r="G11" s="3">
        <v>2</v>
      </c>
      <c r="H11" s="3">
        <v>1</v>
      </c>
      <c r="I11" s="3">
        <v>1</v>
      </c>
      <c r="J11" s="3">
        <v>1</v>
      </c>
      <c r="K11" s="3">
        <v>0</v>
      </c>
      <c r="L11" s="3">
        <v>0</v>
      </c>
      <c r="M11" s="3">
        <v>1</v>
      </c>
      <c r="N11" s="3">
        <v>0</v>
      </c>
      <c r="O11" s="3">
        <v>2</v>
      </c>
      <c r="P11" s="41">
        <f>IFERROR(AVERAGEIF(C11:O11,"&gt;0"),0)</f>
        <v>1.4285714285714286</v>
      </c>
    </row>
    <row r="12" spans="1:16" ht="14.25" customHeight="1">
      <c r="A12" s="35" t="s">
        <v>90</v>
      </c>
      <c r="B12" s="3" t="s">
        <v>82</v>
      </c>
      <c r="C12" s="3">
        <v>0</v>
      </c>
      <c r="D12" s="3">
        <v>0</v>
      </c>
      <c r="E12" s="3">
        <v>0</v>
      </c>
      <c r="F12" s="3">
        <v>2</v>
      </c>
      <c r="G12" s="3">
        <v>3</v>
      </c>
      <c r="H12" s="3">
        <v>1</v>
      </c>
      <c r="I12" s="3">
        <v>1</v>
      </c>
      <c r="J12" s="3">
        <v>0</v>
      </c>
      <c r="K12" s="3">
        <v>0</v>
      </c>
      <c r="L12" s="3">
        <v>0</v>
      </c>
      <c r="M12" s="3">
        <v>2</v>
      </c>
      <c r="N12" s="3">
        <v>1</v>
      </c>
      <c r="O12" s="3">
        <v>2</v>
      </c>
      <c r="P12" s="41">
        <f>IFERROR(AVERAGEIF(C12:O12,"&gt;0"),0)</f>
        <v>1.7142857142857142</v>
      </c>
    </row>
    <row r="13" spans="1:16" ht="14.25" customHeight="1">
      <c r="A13" s="35" t="s">
        <v>97</v>
      </c>
      <c r="B13" s="3" t="s">
        <v>85</v>
      </c>
      <c r="C13" s="3">
        <v>2</v>
      </c>
      <c r="D13" s="3">
        <v>0</v>
      </c>
      <c r="E13" s="3">
        <v>0</v>
      </c>
      <c r="F13" s="3">
        <v>1</v>
      </c>
      <c r="G13" s="3">
        <v>0</v>
      </c>
      <c r="H13" s="3">
        <v>1</v>
      </c>
      <c r="I13" s="3">
        <v>1</v>
      </c>
      <c r="J13" s="3">
        <v>0</v>
      </c>
      <c r="K13" s="3">
        <v>0</v>
      </c>
      <c r="L13" s="3">
        <v>0</v>
      </c>
      <c r="M13" s="3">
        <v>1</v>
      </c>
      <c r="N13" s="3">
        <v>1</v>
      </c>
      <c r="O13" s="3">
        <v>0</v>
      </c>
      <c r="P13" s="41">
        <f>IFERROR(AVERAGEIF(C13:O13,"&gt;0"),0)</f>
        <v>1.1666666666666667</v>
      </c>
    </row>
    <row r="14" spans="1:16" ht="14.25" customHeight="1">
      <c r="A14" s="35" t="s">
        <v>100</v>
      </c>
      <c r="B14" s="3" t="s">
        <v>91</v>
      </c>
      <c r="C14" s="3">
        <v>0</v>
      </c>
      <c r="D14" s="3">
        <v>0</v>
      </c>
      <c r="E14" s="3">
        <v>0</v>
      </c>
      <c r="F14" s="3">
        <v>3</v>
      </c>
      <c r="G14" s="3">
        <v>1</v>
      </c>
      <c r="H14" s="3">
        <v>1</v>
      </c>
      <c r="I14" s="3">
        <v>1</v>
      </c>
      <c r="J14" s="3">
        <v>1</v>
      </c>
      <c r="K14" s="3">
        <v>0</v>
      </c>
      <c r="L14" s="3">
        <v>0</v>
      </c>
      <c r="M14" s="3">
        <v>2</v>
      </c>
      <c r="N14" s="3">
        <v>1</v>
      </c>
      <c r="O14" s="3">
        <v>2</v>
      </c>
      <c r="P14" s="41">
        <f>IFERROR(AVERAGEIF(C14:O14,"&gt;0"),0)</f>
        <v>1.5</v>
      </c>
    </row>
    <row r="15" spans="1:16" ht="14.25" customHeight="1">
      <c r="A15" s="35" t="s">
        <v>106</v>
      </c>
      <c r="B15" s="3" t="s">
        <v>98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41">
        <f>IFERROR(AVERAGEIF(C15:O15,"&gt;0"),0)</f>
        <v>0</v>
      </c>
    </row>
    <row r="16" spans="1:16">
      <c r="A16" s="35" t="s">
        <v>112</v>
      </c>
      <c r="B16" s="9" t="s">
        <v>101</v>
      </c>
      <c r="C16" s="3">
        <v>0</v>
      </c>
      <c r="D16" s="3">
        <v>0</v>
      </c>
      <c r="E16" s="3">
        <v>2</v>
      </c>
      <c r="F16" s="3">
        <v>2</v>
      </c>
      <c r="G16" s="3">
        <v>1</v>
      </c>
      <c r="H16" s="3">
        <v>1</v>
      </c>
      <c r="I16" s="3">
        <v>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41">
        <f>IFERROR(AVERAGEIF(C16:O16,"&gt;0"),0)</f>
        <v>1.4</v>
      </c>
    </row>
    <row r="17" spans="1:16" ht="14.25" customHeight="1">
      <c r="A17" s="35" t="s">
        <v>116</v>
      </c>
      <c r="B17" s="3" t="s">
        <v>107</v>
      </c>
      <c r="C17" s="3">
        <v>0</v>
      </c>
      <c r="D17" s="3">
        <v>0</v>
      </c>
      <c r="E17" s="3">
        <v>2</v>
      </c>
      <c r="F17" s="3">
        <v>2</v>
      </c>
      <c r="G17" s="3">
        <v>1</v>
      </c>
      <c r="H17" s="3">
        <v>1</v>
      </c>
      <c r="I17" s="3">
        <v>1</v>
      </c>
      <c r="J17" s="3">
        <v>0</v>
      </c>
      <c r="K17" s="3">
        <v>0</v>
      </c>
      <c r="L17" s="3">
        <v>0</v>
      </c>
      <c r="M17" s="3">
        <v>1</v>
      </c>
      <c r="N17" s="3">
        <v>0</v>
      </c>
      <c r="O17" s="3">
        <v>1</v>
      </c>
      <c r="P17" s="41">
        <f>IFERROR(AVERAGEIF(C17:O17,"&gt;0"),0)</f>
        <v>1.2857142857142858</v>
      </c>
    </row>
    <row r="18" spans="1:16" ht="14.25" customHeight="1">
      <c r="A18" s="35" t="s">
        <v>119</v>
      </c>
      <c r="B18" s="3" t="s">
        <v>113</v>
      </c>
      <c r="C18" s="3">
        <v>2</v>
      </c>
      <c r="D18" s="3">
        <v>1</v>
      </c>
      <c r="E18" s="3">
        <v>0</v>
      </c>
      <c r="F18" s="3">
        <v>0</v>
      </c>
      <c r="G18" s="3">
        <v>0</v>
      </c>
      <c r="H18" s="3">
        <v>1</v>
      </c>
      <c r="I18" s="3">
        <v>1</v>
      </c>
      <c r="J18" s="3">
        <v>1</v>
      </c>
      <c r="K18" s="3">
        <v>1</v>
      </c>
      <c r="L18" s="3">
        <v>0</v>
      </c>
      <c r="M18" s="3">
        <v>0</v>
      </c>
      <c r="N18" s="3">
        <v>0</v>
      </c>
      <c r="O18" s="3">
        <v>0</v>
      </c>
      <c r="P18" s="41">
        <f>IFERROR(AVERAGEIF(C18:O18,"&gt;0"),0)</f>
        <v>1.1666666666666667</v>
      </c>
    </row>
    <row r="19" spans="1:16" ht="14.25" customHeight="1">
      <c r="A19" s="35" t="s">
        <v>126</v>
      </c>
      <c r="B19" s="3" t="s">
        <v>191</v>
      </c>
      <c r="C19" s="3">
        <v>0</v>
      </c>
      <c r="D19" s="3">
        <v>0</v>
      </c>
      <c r="E19" s="3">
        <v>0</v>
      </c>
      <c r="F19" s="3">
        <v>1</v>
      </c>
      <c r="G19" s="3">
        <v>0</v>
      </c>
      <c r="H19" s="3">
        <v>1</v>
      </c>
      <c r="I19" s="3">
        <v>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1</v>
      </c>
      <c r="P19" s="41">
        <f>IFERROR(AVERAGEIF(C19:O19,"&gt;0"),0)</f>
        <v>1</v>
      </c>
    </row>
    <row r="20" spans="1:16" ht="14.25" customHeight="1">
      <c r="A20" s="35" t="s">
        <v>128</v>
      </c>
      <c r="B20" s="3" t="s">
        <v>192</v>
      </c>
      <c r="C20" s="3">
        <v>0</v>
      </c>
      <c r="D20" s="3">
        <v>0</v>
      </c>
      <c r="E20" s="3">
        <v>0</v>
      </c>
      <c r="F20" s="3">
        <v>1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2</v>
      </c>
      <c r="N20" s="3">
        <v>1</v>
      </c>
      <c r="O20" s="3">
        <v>1</v>
      </c>
      <c r="P20" s="41">
        <f>IFERROR(AVERAGEIF(C20:O20,"&gt;0"),0)</f>
        <v>1.25</v>
      </c>
    </row>
    <row r="21" spans="1:16" ht="14.25" customHeight="1">
      <c r="A21" s="35" t="s">
        <v>130</v>
      </c>
      <c r="B21" s="3" t="s">
        <v>120</v>
      </c>
      <c r="C21" s="3">
        <v>0</v>
      </c>
      <c r="D21" s="3">
        <v>0</v>
      </c>
      <c r="E21" s="3">
        <v>0</v>
      </c>
      <c r="F21" s="3">
        <v>1</v>
      </c>
      <c r="G21" s="3">
        <v>0</v>
      </c>
      <c r="H21" s="3">
        <v>0</v>
      </c>
      <c r="I21" s="3">
        <v>0</v>
      </c>
      <c r="J21" s="3">
        <v>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41">
        <f>IFERROR(AVERAGEIF(C21:O21,"&gt;0"),0)</f>
        <v>1.5</v>
      </c>
    </row>
    <row r="22" spans="1:16" ht="14.25" customHeight="1">
      <c r="A22" s="35" t="s">
        <v>133</v>
      </c>
      <c r="B22" s="3" t="s">
        <v>194</v>
      </c>
      <c r="C22" s="3">
        <v>0</v>
      </c>
      <c r="D22" s="3">
        <v>0</v>
      </c>
      <c r="E22" s="3">
        <v>0</v>
      </c>
      <c r="F22" s="3">
        <v>1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41">
        <f>IFERROR(AVERAGEIF(C22:O22,"&gt;0"),0)</f>
        <v>1</v>
      </c>
    </row>
    <row r="23" spans="1:16" ht="14.25" customHeight="1">
      <c r="A23" s="35" t="s">
        <v>138</v>
      </c>
      <c r="B23" s="3" t="s">
        <v>127</v>
      </c>
      <c r="C23" s="3">
        <v>0</v>
      </c>
      <c r="D23" s="3">
        <v>0</v>
      </c>
      <c r="E23" s="3">
        <v>0</v>
      </c>
      <c r="F23" s="3">
        <v>1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1">
        <f>IFERROR(AVERAGEIF(C23:O23,"&gt;0"),0)</f>
        <v>1</v>
      </c>
    </row>
    <row r="24" spans="1:16" ht="14.25" customHeight="1">
      <c r="A24" s="35" t="s">
        <v>143</v>
      </c>
      <c r="B24" s="3" t="s">
        <v>129</v>
      </c>
      <c r="C24" s="3">
        <v>0</v>
      </c>
      <c r="D24" s="3">
        <v>0</v>
      </c>
      <c r="E24" s="3">
        <v>0</v>
      </c>
      <c r="F24" s="3">
        <v>1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41">
        <f>IFERROR(AVERAGEIF(C24:O24,"&gt;0"),0)</f>
        <v>1</v>
      </c>
    </row>
  </sheetData>
  <mergeCells count="1">
    <mergeCell ref="A1:P1"/>
  </mergeCells>
  <conditionalFormatting sqref="C3:O20">
    <cfRule type="colorScale" priority="1">
      <colorScale>
        <cfvo type="num" val="0"/>
        <cfvo type="num" val="2"/>
        <cfvo type="num" val="4"/>
        <color rgb="FFFCEBEB"/>
        <color rgb="FFFAEEDA"/>
        <color rgb="FFE1F5EE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59E0B"/>
  </sheetPr>
  <dimension ref="A1:L7"/>
  <sheetViews>
    <sheetView showGridLines="0" workbookViewId="0">
      <pane ySplit="2" topLeftCell="A3" activePane="bottomLeft" state="frozen"/>
      <selection pane="bottomLeft" activeCell="A8" sqref="A8"/>
    </sheetView>
  </sheetViews>
  <sheetFormatPr defaultRowHeight="15"/>
  <cols>
    <col min="1" max="1" width="10" customWidth="1"/>
    <col min="2" max="2" width="20" customWidth="1"/>
    <col min="3" max="3" width="28" customWidth="1"/>
    <col min="4" max="4" width="16" customWidth="1"/>
    <col min="5" max="8" width="12" customWidth="1"/>
    <col min="9" max="9" width="14" customWidth="1"/>
    <col min="10" max="11" width="10" customWidth="1"/>
    <col min="12" max="12" width="12" customWidth="1"/>
  </cols>
  <sheetData>
    <row r="1" spans="1:12" ht="27.95" customHeight="1">
      <c r="A1" s="93" t="s">
        <v>223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</row>
    <row r="2" spans="1:12" ht="21.95" customHeight="1">
      <c r="A2" s="42" t="s">
        <v>1</v>
      </c>
      <c r="B2" s="42" t="s">
        <v>170</v>
      </c>
      <c r="C2" s="42" t="s">
        <v>18</v>
      </c>
      <c r="D2" s="42" t="s">
        <v>224</v>
      </c>
      <c r="E2" s="42" t="s">
        <v>225</v>
      </c>
      <c r="F2" s="42" t="s">
        <v>226</v>
      </c>
      <c r="G2" s="42" t="s">
        <v>227</v>
      </c>
      <c r="H2" s="42" t="s">
        <v>228</v>
      </c>
      <c r="I2" s="42" t="s">
        <v>12</v>
      </c>
      <c r="J2" s="42" t="s">
        <v>229</v>
      </c>
      <c r="K2" s="42" t="s">
        <v>230</v>
      </c>
      <c r="L2" s="42" t="s">
        <v>231</v>
      </c>
    </row>
    <row r="3" spans="1:12" ht="20.100000000000001" customHeight="1">
      <c r="A3" s="32" t="s">
        <v>128</v>
      </c>
      <c r="B3" s="3" t="s">
        <v>192</v>
      </c>
      <c r="C3" s="22" t="s">
        <v>232</v>
      </c>
      <c r="D3" s="22" t="s">
        <v>233</v>
      </c>
      <c r="E3" s="22" t="s">
        <v>234</v>
      </c>
      <c r="F3" s="23">
        <v>46097</v>
      </c>
      <c r="G3" s="23">
        <v>46250</v>
      </c>
      <c r="H3" s="22">
        <f>IFERROR(G3-F3,"")</f>
        <v>153</v>
      </c>
      <c r="I3" s="22" t="s">
        <v>235</v>
      </c>
      <c r="J3" s="22">
        <v>25</v>
      </c>
      <c r="K3" s="22">
        <v>50</v>
      </c>
      <c r="L3" s="43">
        <f>IFERROR((K3-J3)/J3,"")</f>
        <v>1</v>
      </c>
    </row>
    <row r="4" spans="1:12" ht="20.100000000000001" customHeight="1">
      <c r="A4" s="32" t="s">
        <v>130</v>
      </c>
      <c r="B4" s="3" t="s">
        <v>120</v>
      </c>
      <c r="C4" s="29" t="s">
        <v>236</v>
      </c>
      <c r="D4" s="29" t="s">
        <v>237</v>
      </c>
      <c r="E4" s="29" t="s">
        <v>234</v>
      </c>
      <c r="F4" s="30">
        <v>46155</v>
      </c>
      <c r="G4" s="30">
        <v>46247</v>
      </c>
      <c r="H4" s="29">
        <f>IFERROR(G4-F4,"")</f>
        <v>92</v>
      </c>
      <c r="I4" s="29" t="s">
        <v>235</v>
      </c>
      <c r="J4" s="29">
        <v>40</v>
      </c>
      <c r="K4" s="29">
        <v>50</v>
      </c>
      <c r="L4" s="44">
        <f>IFERROR((K4-J4)/J4,"")</f>
        <v>0.25</v>
      </c>
    </row>
    <row r="5" spans="1:12" ht="20.100000000000001" customHeight="1">
      <c r="A5" s="32" t="s">
        <v>133</v>
      </c>
      <c r="B5" s="3" t="s">
        <v>194</v>
      </c>
      <c r="C5" s="22" t="s">
        <v>238</v>
      </c>
      <c r="D5" s="22" t="s">
        <v>239</v>
      </c>
      <c r="E5" s="22" t="s">
        <v>234</v>
      </c>
      <c r="F5" s="23">
        <v>46174</v>
      </c>
      <c r="G5" s="23">
        <v>46218</v>
      </c>
      <c r="H5" s="22">
        <f>IFERROR(G5-F5,"")</f>
        <v>44</v>
      </c>
      <c r="I5" s="22" t="s">
        <v>235</v>
      </c>
      <c r="J5" s="22">
        <v>10</v>
      </c>
      <c r="K5" s="22">
        <v>11</v>
      </c>
      <c r="L5" s="43">
        <f>IFERROR((K5-J5)/J5,"")</f>
        <v>0.1</v>
      </c>
    </row>
    <row r="6" spans="1:12" ht="20.100000000000001" customHeight="1">
      <c r="A6" s="32" t="s">
        <v>138</v>
      </c>
      <c r="B6" s="3" t="s">
        <v>127</v>
      </c>
      <c r="C6" s="29" t="s">
        <v>44</v>
      </c>
      <c r="D6" s="29" t="s">
        <v>240</v>
      </c>
      <c r="E6" s="29" t="s">
        <v>234</v>
      </c>
      <c r="F6" s="30">
        <v>46195</v>
      </c>
      <c r="G6" s="30">
        <v>46287</v>
      </c>
      <c r="H6" s="29">
        <f>IFERROR(G6-F6,"")</f>
        <v>92</v>
      </c>
      <c r="I6" s="29" t="s">
        <v>235</v>
      </c>
      <c r="J6" s="29">
        <v>30</v>
      </c>
      <c r="K6" s="29">
        <v>32</v>
      </c>
      <c r="L6" s="44">
        <f>IFERROR((K6-J6)/J6,"")</f>
        <v>6.6666666666666666E-2</v>
      </c>
    </row>
    <row r="7" spans="1:12" ht="20.100000000000001" customHeight="1">
      <c r="A7" s="32" t="s">
        <v>143</v>
      </c>
      <c r="B7" s="8" t="s">
        <v>129</v>
      </c>
      <c r="C7" s="22" t="s">
        <v>44</v>
      </c>
      <c r="D7" s="22" t="s">
        <v>240</v>
      </c>
      <c r="E7" s="22" t="s">
        <v>234</v>
      </c>
      <c r="F7" s="23">
        <v>46195</v>
      </c>
      <c r="G7" s="23">
        <v>46287</v>
      </c>
      <c r="H7" s="22">
        <f>IFERROR(G7-F7,"")</f>
        <v>92</v>
      </c>
      <c r="I7" s="22" t="s">
        <v>235</v>
      </c>
      <c r="J7" s="22">
        <v>40</v>
      </c>
      <c r="K7" s="22">
        <v>45</v>
      </c>
      <c r="L7" s="43">
        <f>IFERROR((K7-J7)/J7,"")</f>
        <v>0.125</v>
      </c>
    </row>
  </sheetData>
  <autoFilter ref="A1:L7" xr:uid="{00000000-0009-0000-0000-000004000000}"/>
  <mergeCells count="1">
    <mergeCell ref="A1:L1"/>
  </mergeCells>
  <conditionalFormatting sqref="I3:I50">
    <cfRule type="cellIs" dxfId="202" priority="1" operator="equal">
      <formula>"Completed"</formula>
    </cfRule>
    <cfRule type="cellIs" dxfId="201" priority="2" operator="equal">
      <formula>"In Progress"</formula>
    </cfRule>
  </conditionalFormatting>
  <dataValidations count="1">
    <dataValidation type="list" sqref="E3:E200" xr:uid="{00000000-0002-0000-0400-000000000000}">
      <formula1>"Online / Self-paced,Instructor-led,Classroom,On-the-Job,Blended"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A32D2D"/>
  </sheetPr>
  <dimension ref="A1:M7"/>
  <sheetViews>
    <sheetView showGridLines="0" workbookViewId="0">
      <pane ySplit="2" topLeftCell="A3" activePane="bottomLeft" state="frozen"/>
      <selection pane="bottomLeft" activeCell="D11" sqref="D11"/>
    </sheetView>
  </sheetViews>
  <sheetFormatPr defaultRowHeight="15"/>
  <cols>
    <col min="1" max="1" width="10" customWidth="1"/>
    <col min="2" max="2" width="20" customWidth="1"/>
    <col min="3" max="3" width="22" customWidth="1"/>
    <col min="4" max="4" width="18" customWidth="1"/>
    <col min="5" max="6" width="12" customWidth="1"/>
    <col min="7" max="7" width="10" customWidth="1"/>
    <col min="8" max="8" width="12" customWidth="1"/>
    <col min="9" max="9" width="26.140625" customWidth="1"/>
    <col min="10" max="10" width="12" customWidth="1"/>
    <col min="11" max="11" width="11" customWidth="1"/>
    <col min="12" max="12" width="20" customWidth="1"/>
    <col min="13" max="13" width="22" customWidth="1"/>
  </cols>
  <sheetData>
    <row r="1" spans="1:13" ht="27.95" customHeight="1">
      <c r="A1" s="93" t="s">
        <v>241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</row>
    <row r="2" spans="1:13" ht="21.95" customHeight="1">
      <c r="A2" s="45" t="s">
        <v>242</v>
      </c>
      <c r="B2" s="45" t="s">
        <v>243</v>
      </c>
      <c r="C2" s="45" t="s">
        <v>244</v>
      </c>
      <c r="D2" s="45" t="s">
        <v>245</v>
      </c>
      <c r="E2" s="45" t="s">
        <v>246</v>
      </c>
      <c r="F2" s="45" t="s">
        <v>226</v>
      </c>
      <c r="G2" s="45" t="s">
        <v>247</v>
      </c>
      <c r="H2" s="45" t="s">
        <v>12</v>
      </c>
      <c r="I2" s="45" t="s">
        <v>248</v>
      </c>
      <c r="J2" s="45" t="s">
        <v>249</v>
      </c>
      <c r="K2" s="45" t="s">
        <v>250</v>
      </c>
      <c r="L2" s="45" t="s">
        <v>251</v>
      </c>
      <c r="M2" s="45" t="s">
        <v>23</v>
      </c>
    </row>
    <row r="3" spans="1:13" ht="20.100000000000001" customHeight="1">
      <c r="A3" s="22" t="s">
        <v>252</v>
      </c>
      <c r="B3" s="22" t="s">
        <v>253</v>
      </c>
      <c r="C3" s="22" t="s">
        <v>254</v>
      </c>
      <c r="D3" s="22" t="s">
        <v>211</v>
      </c>
      <c r="E3" s="22" t="s">
        <v>255</v>
      </c>
      <c r="F3" s="23">
        <v>46263</v>
      </c>
      <c r="G3" s="22" t="s">
        <v>256</v>
      </c>
      <c r="H3" s="22" t="s">
        <v>257</v>
      </c>
      <c r="I3" s="22" t="s">
        <v>258</v>
      </c>
      <c r="J3" s="23">
        <v>46195</v>
      </c>
      <c r="K3" s="22">
        <v>90</v>
      </c>
      <c r="L3" s="22"/>
      <c r="M3" s="22" t="s">
        <v>259</v>
      </c>
    </row>
    <row r="4" spans="1:13" ht="20.100000000000001" customHeight="1">
      <c r="A4" s="29" t="s">
        <v>260</v>
      </c>
      <c r="B4" s="29" t="s">
        <v>261</v>
      </c>
      <c r="C4" s="29" t="s">
        <v>262</v>
      </c>
      <c r="D4" s="29" t="s">
        <v>263</v>
      </c>
      <c r="E4" s="29" t="s">
        <v>264</v>
      </c>
      <c r="F4" s="30">
        <v>46223</v>
      </c>
      <c r="G4" s="29" t="s">
        <v>265</v>
      </c>
      <c r="H4" s="29" t="s">
        <v>257</v>
      </c>
      <c r="I4" s="29" t="s">
        <v>266</v>
      </c>
      <c r="J4" s="30">
        <v>46198</v>
      </c>
      <c r="K4" s="29">
        <v>75</v>
      </c>
      <c r="L4" s="29"/>
      <c r="M4" s="29" t="s">
        <v>30</v>
      </c>
    </row>
    <row r="5" spans="1:13" ht="20.100000000000001" customHeight="1">
      <c r="A5" s="22" t="s">
        <v>267</v>
      </c>
      <c r="B5" s="22" t="s">
        <v>268</v>
      </c>
      <c r="C5" s="22" t="s">
        <v>269</v>
      </c>
      <c r="D5" s="22" t="s">
        <v>214</v>
      </c>
      <c r="E5" s="22" t="s">
        <v>270</v>
      </c>
      <c r="F5" s="23">
        <v>46227</v>
      </c>
      <c r="G5" s="22" t="s">
        <v>271</v>
      </c>
      <c r="H5" s="22" t="s">
        <v>257</v>
      </c>
      <c r="I5" s="22"/>
      <c r="J5" s="23">
        <v>46196</v>
      </c>
      <c r="K5" s="22"/>
      <c r="L5" s="22"/>
      <c r="M5" s="22"/>
    </row>
    <row r="6" spans="1:13" ht="20.100000000000001" customHeight="1">
      <c r="A6" s="29" t="s">
        <v>272</v>
      </c>
      <c r="B6" s="29" t="s">
        <v>273</v>
      </c>
      <c r="C6" s="29" t="s">
        <v>38</v>
      </c>
      <c r="D6" s="29" t="s">
        <v>274</v>
      </c>
      <c r="E6" s="29" t="s">
        <v>255</v>
      </c>
      <c r="F6" s="30">
        <v>46236</v>
      </c>
      <c r="G6" s="29" t="s">
        <v>256</v>
      </c>
      <c r="H6" s="29" t="s">
        <v>257</v>
      </c>
      <c r="I6" s="29"/>
      <c r="J6" s="30">
        <v>46195</v>
      </c>
      <c r="K6" s="29"/>
      <c r="L6" s="29"/>
      <c r="M6" s="29"/>
    </row>
    <row r="7" spans="1:13" ht="20.100000000000001" customHeight="1">
      <c r="A7" s="22" t="s">
        <v>275</v>
      </c>
      <c r="B7" s="22" t="s">
        <v>276</v>
      </c>
      <c r="C7" s="22" t="s">
        <v>277</v>
      </c>
      <c r="D7" s="22" t="s">
        <v>278</v>
      </c>
      <c r="E7" s="22" t="s">
        <v>255</v>
      </c>
      <c r="F7" s="23">
        <v>46235</v>
      </c>
      <c r="G7" s="22" t="s">
        <v>256</v>
      </c>
      <c r="H7" s="22" t="s">
        <v>257</v>
      </c>
      <c r="I7" s="22"/>
      <c r="J7" s="23">
        <v>46195</v>
      </c>
      <c r="K7" s="22"/>
      <c r="L7" s="22"/>
      <c r="M7" s="22"/>
    </row>
  </sheetData>
  <autoFilter ref="A1:M7" xr:uid="{00000000-0009-0000-0000-000005000000}"/>
  <mergeCells count="1">
    <mergeCell ref="A1:M1"/>
  </mergeCells>
  <conditionalFormatting sqref="G3:G48">
    <cfRule type="cellIs" dxfId="200" priority="1" operator="equal">
      <formula>"Critical"</formula>
    </cfRule>
    <cfRule type="cellIs" dxfId="199" priority="2" operator="equal">
      <formula>"High"</formula>
    </cfRule>
  </conditionalFormatting>
  <conditionalFormatting sqref="K3:K48">
    <cfRule type="colorScale" priority="3">
      <colorScale>
        <cfvo type="num" val="0"/>
        <cfvo type="num" val="60"/>
        <cfvo type="num" val="100"/>
        <color rgb="FFFCEBEB"/>
        <color rgb="FFFAEEDA"/>
        <color rgb="FFE1F5EE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34AB7"/>
  </sheetPr>
  <dimension ref="A1:J26"/>
  <sheetViews>
    <sheetView showGridLines="0" workbookViewId="0">
      <selection activeCell="K5" sqref="K5"/>
    </sheetView>
  </sheetViews>
  <sheetFormatPr defaultRowHeight="15"/>
  <cols>
    <col min="1" max="10" width="14" customWidth="1"/>
  </cols>
  <sheetData>
    <row r="1" spans="1:10" ht="36" customHeight="1">
      <c r="A1" s="109" t="s">
        <v>279</v>
      </c>
      <c r="B1" s="114"/>
      <c r="C1" s="114"/>
      <c r="D1" s="114"/>
      <c r="E1" s="114"/>
      <c r="F1" s="114"/>
      <c r="G1" s="114"/>
      <c r="H1" s="114"/>
      <c r="I1" s="114"/>
      <c r="J1" s="114"/>
    </row>
    <row r="3" spans="1:10" ht="21.95" customHeight="1">
      <c r="A3" s="110" t="s">
        <v>280</v>
      </c>
      <c r="B3" s="115"/>
      <c r="C3" s="101" t="s">
        <v>281</v>
      </c>
      <c r="D3" s="115"/>
      <c r="E3" s="105" t="s">
        <v>124</v>
      </c>
      <c r="F3" s="115"/>
      <c r="G3" s="100" t="s">
        <v>282</v>
      </c>
      <c r="H3" s="115"/>
      <c r="I3" s="102" t="s">
        <v>283</v>
      </c>
      <c r="J3" s="115"/>
    </row>
    <row r="4" spans="1:10" ht="21.95" customHeight="1">
      <c r="A4" s="94">
        <f>COUNTA('Bench Master'!B3:B198)</f>
        <v>26</v>
      </c>
      <c r="B4" s="115"/>
      <c r="C4" s="94">
        <f>COUNTIF('Bench Master'!L3:L198,"Available")+COUNTIF('Bench Master'!L3:L198,"Partial Available")</f>
        <v>20</v>
      </c>
      <c r="D4" s="115"/>
      <c r="E4" s="94">
        <f>COUNTIF('Bench Master'!L3:L198,"In Training")</f>
        <v>4</v>
      </c>
      <c r="F4" s="115"/>
      <c r="G4" s="112">
        <f ca="1">IFERROR(AVERAGEIF('Bench Master'!K3:K198,"&gt;0"),0)</f>
        <v>287.88461538461536</v>
      </c>
      <c r="H4" s="115"/>
      <c r="I4" s="94">
        <f>COUNTIF('Demand Pipeline'!H3:H98,"Open")</f>
        <v>5</v>
      </c>
      <c r="J4" s="115"/>
    </row>
    <row r="5" spans="1:10" ht="21.95" customHeight="1">
      <c r="A5" s="103" t="s">
        <v>284</v>
      </c>
      <c r="B5" s="115"/>
      <c r="C5" s="103" t="s">
        <v>285</v>
      </c>
      <c r="D5" s="115"/>
      <c r="E5" s="103" t="s">
        <v>286</v>
      </c>
      <c r="F5" s="115"/>
      <c r="G5" s="103" t="s">
        <v>287</v>
      </c>
      <c r="H5" s="115"/>
      <c r="I5" s="103" t="s">
        <v>288</v>
      </c>
      <c r="J5" s="115"/>
    </row>
    <row r="6" spans="1:10" ht="21.95" customHeight="1"/>
    <row r="7" spans="1:10" ht="21.95" customHeight="1"/>
    <row r="8" spans="1:10" ht="21.95" customHeight="1">
      <c r="A8" s="100" t="s">
        <v>289</v>
      </c>
      <c r="B8" s="115"/>
      <c r="C8" s="101" t="s">
        <v>290</v>
      </c>
      <c r="D8" s="115"/>
      <c r="E8" s="102" t="s">
        <v>291</v>
      </c>
      <c r="F8" s="115"/>
      <c r="G8" s="105" t="s">
        <v>292</v>
      </c>
      <c r="H8" s="115"/>
      <c r="I8" s="101" t="s">
        <v>293</v>
      </c>
      <c r="J8" s="115"/>
    </row>
    <row r="9" spans="1:10" ht="21.95" customHeight="1">
      <c r="A9" s="94">
        <f>COUNTIF('Demand Pipeline'!G3:G98,"Critical")</f>
        <v>1</v>
      </c>
      <c r="B9" s="115"/>
      <c r="C9" s="94">
        <f ca="1">COUNTIF('Demand Pipeline'!J3:J98,"&gt;="&amp;TODAY()-7)</f>
        <v>0</v>
      </c>
      <c r="D9" s="115"/>
      <c r="E9" s="94">
        <f>IFERROR(AVERAGEIF('Demand Pipeline'!K3:K98,"&gt;0"),0)</f>
        <v>82.5</v>
      </c>
      <c r="F9" s="115"/>
      <c r="G9" s="94">
        <f ca="1">COUNTIF('Bench Master'!K3:K198,"&gt;15")</f>
        <v>25</v>
      </c>
      <c r="H9" s="115"/>
      <c r="I9" s="94">
        <f ca="1">COUNTIFS('Bench Master'!N3:N198,"&gt;="&amp;TODAY(),'Bench Master'!N3:N198,"&lt;="&amp;TODAY()+7)</f>
        <v>0</v>
      </c>
      <c r="J9" s="115"/>
    </row>
    <row r="10" spans="1:10" ht="21.95" customHeight="1">
      <c r="A10" s="103" t="s">
        <v>294</v>
      </c>
      <c r="B10" s="115"/>
      <c r="C10" s="103" t="s">
        <v>295</v>
      </c>
      <c r="D10" s="115"/>
      <c r="E10" s="103" t="s">
        <v>296</v>
      </c>
      <c r="F10" s="115"/>
      <c r="G10" s="103" t="s">
        <v>297</v>
      </c>
      <c r="H10" s="115"/>
      <c r="I10" s="103" t="s">
        <v>298</v>
      </c>
      <c r="J10" s="115"/>
    </row>
    <row r="11" spans="1:10" ht="21.95" customHeight="1"/>
    <row r="12" spans="1:10" ht="21.95" customHeight="1"/>
    <row r="14" spans="1:10" ht="20.100000000000001" customHeight="1">
      <c r="A14" s="95" t="s">
        <v>299</v>
      </c>
      <c r="B14" s="116"/>
      <c r="C14" s="116"/>
      <c r="D14" s="116"/>
      <c r="E14" s="116"/>
      <c r="F14" s="116"/>
      <c r="G14" s="116"/>
      <c r="H14" s="116"/>
      <c r="I14" s="116"/>
      <c r="J14" s="115"/>
    </row>
    <row r="16" spans="1:10" ht="20.100000000000001" customHeight="1">
      <c r="A16" s="104" t="s">
        <v>300</v>
      </c>
      <c r="B16" s="116"/>
      <c r="C16" s="116"/>
      <c r="D16" s="116"/>
      <c r="E16" s="116"/>
      <c r="F16" s="116"/>
      <c r="G16" s="116"/>
      <c r="H16" s="116"/>
      <c r="I16" s="116"/>
      <c r="J16" s="115"/>
    </row>
    <row r="17" spans="1:10" ht="21.95" customHeight="1">
      <c r="A17" s="105" t="s">
        <v>73</v>
      </c>
      <c r="B17" s="115"/>
      <c r="C17" s="104" t="s">
        <v>31</v>
      </c>
      <c r="D17" s="115"/>
      <c r="E17" s="100" t="s">
        <v>301</v>
      </c>
      <c r="F17" s="115"/>
      <c r="G17" s="101" t="s">
        <v>302</v>
      </c>
      <c r="H17" s="115"/>
      <c r="I17" s="106" t="s">
        <v>303</v>
      </c>
      <c r="J17" s="115"/>
    </row>
    <row r="18" spans="1:10" ht="21.95" customHeight="1">
      <c r="A18" s="94">
        <f>COUNTIF('Bench Master'!M3:M198,"Learner Pool")</f>
        <v>7</v>
      </c>
      <c r="B18" s="115"/>
      <c r="C18" s="94">
        <f>COUNTIF('Bench Master'!M3:M198,"Innovation Pool")</f>
        <v>15</v>
      </c>
      <c r="D18" s="115"/>
      <c r="E18" s="94">
        <f ca="1">COUNTIFS('Pool Review Log'!I3:I46,"Pending",'Pool Review Log'!D3:D46,"&lt;="&amp;TODAY()+7)</f>
        <v>0</v>
      </c>
      <c r="F18" s="115"/>
      <c r="G18" s="94">
        <f>COUNTIF('Pool Review Log'!I3:I46,"Promoted")</f>
        <v>0</v>
      </c>
      <c r="H18" s="115"/>
      <c r="I18" s="94">
        <f>COUNTIF('Pool Review Log'!I3:I46,"Exit")</f>
        <v>0</v>
      </c>
      <c r="J18" s="115"/>
    </row>
    <row r="19" spans="1:10" ht="21.95" customHeight="1">
      <c r="A19" s="103" t="s">
        <v>304</v>
      </c>
      <c r="B19" s="115"/>
      <c r="C19" s="103" t="s">
        <v>305</v>
      </c>
      <c r="D19" s="115"/>
      <c r="E19" s="103" t="s">
        <v>306</v>
      </c>
      <c r="F19" s="115"/>
      <c r="G19" s="103" t="s">
        <v>307</v>
      </c>
      <c r="H19" s="115"/>
      <c r="I19" s="103" t="s">
        <v>308</v>
      </c>
      <c r="J19" s="115"/>
    </row>
    <row r="20" spans="1:10" ht="20.100000000000001" customHeight="1">
      <c r="A20" s="98" t="s">
        <v>309</v>
      </c>
      <c r="B20" s="116"/>
      <c r="C20" s="116"/>
      <c r="D20" s="116"/>
      <c r="E20" s="116"/>
      <c r="F20" s="116"/>
      <c r="G20" s="116"/>
      <c r="H20" s="116"/>
      <c r="I20" s="116"/>
      <c r="J20" s="115"/>
    </row>
    <row r="22" spans="1:10" ht="20.100000000000001" customHeight="1">
      <c r="A22" s="96" t="s">
        <v>310</v>
      </c>
      <c r="B22" s="116"/>
      <c r="C22" s="116"/>
      <c r="D22" s="116"/>
      <c r="E22" s="116"/>
      <c r="F22" s="116"/>
      <c r="G22" s="116"/>
      <c r="H22" s="116"/>
      <c r="I22" s="116"/>
      <c r="J22" s="115"/>
    </row>
    <row r="23" spans="1:10" ht="21.95" customHeight="1">
      <c r="A23" s="107" t="s">
        <v>32</v>
      </c>
      <c r="B23" s="115"/>
      <c r="C23" s="108" t="s">
        <v>311</v>
      </c>
      <c r="D23" s="115"/>
      <c r="E23" s="97" t="s">
        <v>96</v>
      </c>
      <c r="F23" s="115"/>
      <c r="G23" s="99" t="s">
        <v>125</v>
      </c>
      <c r="H23" s="115"/>
      <c r="I23" s="107" t="s">
        <v>312</v>
      </c>
      <c r="J23" s="115"/>
    </row>
    <row r="24" spans="1:10" ht="21.95" customHeight="1">
      <c r="A24" s="94">
        <f>COUNTIF('Bench Master'!Q3:Q98,"🚨 Critical (1Y+)")</f>
        <v>4</v>
      </c>
      <c r="B24" s="115"/>
      <c r="C24" s="94">
        <f>COUNTIF('Bench Master'!Q3:Q98,"🔴 Action Needed (6M+)")</f>
        <v>5</v>
      </c>
      <c r="D24" s="115"/>
      <c r="E24" s="94">
        <f>COUNTIF('Bench Master'!Q3:Q98,"⚠ Watch (3M+)")</f>
        <v>4</v>
      </c>
      <c r="F24" s="115"/>
      <c r="G24" s="94">
        <f>COUNTIF('Bench Master'!Q3:Q98,"✅ On Track")</f>
        <v>6</v>
      </c>
      <c r="H24" s="115"/>
      <c r="I24" s="94">
        <f ca="1">IFERROR(MAX('Bench Master'!K3:K98),"—")</f>
        <v>1371</v>
      </c>
      <c r="J24" s="115"/>
    </row>
    <row r="25" spans="1:10" ht="21.95" customHeight="1">
      <c r="A25" s="103" t="s">
        <v>313</v>
      </c>
      <c r="B25" s="115"/>
      <c r="C25" s="103" t="s">
        <v>314</v>
      </c>
      <c r="D25" s="115"/>
      <c r="E25" s="103" t="s">
        <v>315</v>
      </c>
      <c r="F25" s="115"/>
      <c r="G25" s="103" t="s">
        <v>316</v>
      </c>
      <c r="H25" s="115"/>
      <c r="I25" s="103" t="s">
        <v>317</v>
      </c>
      <c r="J25" s="115"/>
    </row>
    <row r="26" spans="1:10" ht="18" customHeight="1">
      <c r="A26" s="111" t="s">
        <v>318</v>
      </c>
      <c r="B26" s="116"/>
      <c r="C26" s="116"/>
      <c r="D26" s="116"/>
      <c r="E26" s="116"/>
      <c r="F26" s="116"/>
      <c r="G26" s="116"/>
      <c r="H26" s="116"/>
      <c r="I26" s="116"/>
      <c r="J26" s="115"/>
    </row>
  </sheetData>
  <mergeCells count="66">
    <mergeCell ref="A26:J26"/>
    <mergeCell ref="C18:D18"/>
    <mergeCell ref="A9:B9"/>
    <mergeCell ref="G9:H9"/>
    <mergeCell ref="C3:D3"/>
    <mergeCell ref="I9:J9"/>
    <mergeCell ref="E3:F3"/>
    <mergeCell ref="G4:H4"/>
    <mergeCell ref="I4:J4"/>
    <mergeCell ref="E25:F25"/>
    <mergeCell ref="I10:J10"/>
    <mergeCell ref="A19:B19"/>
    <mergeCell ref="G25:H25"/>
    <mergeCell ref="A10:B10"/>
    <mergeCell ref="C19:D19"/>
    <mergeCell ref="I19:J19"/>
    <mergeCell ref="A1:J1"/>
    <mergeCell ref="A5:B5"/>
    <mergeCell ref="G5:H5"/>
    <mergeCell ref="I5:J5"/>
    <mergeCell ref="I8:J8"/>
    <mergeCell ref="A8:B8"/>
    <mergeCell ref="C8:D8"/>
    <mergeCell ref="A4:B4"/>
    <mergeCell ref="C4:D4"/>
    <mergeCell ref="E4:F4"/>
    <mergeCell ref="C5:D5"/>
    <mergeCell ref="E5:F5"/>
    <mergeCell ref="A3:B3"/>
    <mergeCell ref="G3:H3"/>
    <mergeCell ref="I3:J3"/>
    <mergeCell ref="G8:H8"/>
    <mergeCell ref="I25:J25"/>
    <mergeCell ref="G19:H19"/>
    <mergeCell ref="C9:D9"/>
    <mergeCell ref="A18:B18"/>
    <mergeCell ref="G18:H18"/>
    <mergeCell ref="E9:F9"/>
    <mergeCell ref="G24:H24"/>
    <mergeCell ref="I24:J24"/>
    <mergeCell ref="I23:J23"/>
    <mergeCell ref="A23:B23"/>
    <mergeCell ref="C23:D23"/>
    <mergeCell ref="C10:D10"/>
    <mergeCell ref="A25:B25"/>
    <mergeCell ref="E10:F10"/>
    <mergeCell ref="C25:D25"/>
    <mergeCell ref="E19:F19"/>
    <mergeCell ref="E8:F8"/>
    <mergeCell ref="G10:H10"/>
    <mergeCell ref="A16:J16"/>
    <mergeCell ref="A17:B17"/>
    <mergeCell ref="C17:D17"/>
    <mergeCell ref="I17:J17"/>
    <mergeCell ref="A24:B24"/>
    <mergeCell ref="A14:J14"/>
    <mergeCell ref="C24:D24"/>
    <mergeCell ref="A22:J22"/>
    <mergeCell ref="E24:F24"/>
    <mergeCell ref="E23:F23"/>
    <mergeCell ref="A20:J20"/>
    <mergeCell ref="G23:H23"/>
    <mergeCell ref="E18:F18"/>
    <mergeCell ref="I18:J18"/>
    <mergeCell ref="E17:F17"/>
    <mergeCell ref="G17:H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88780"/>
  </sheetPr>
  <dimension ref="A1:C56"/>
  <sheetViews>
    <sheetView showGridLines="0" workbookViewId="0"/>
  </sheetViews>
  <sheetFormatPr defaultRowHeight="15"/>
  <cols>
    <col min="1" max="1" width="55" customWidth="1"/>
  </cols>
  <sheetData>
    <row r="1" spans="1:3" ht="24" customHeight="1">
      <c r="A1" s="113" t="s">
        <v>319</v>
      </c>
      <c r="B1" s="114"/>
      <c r="C1" s="114"/>
    </row>
    <row r="3" spans="1:3">
      <c r="A3" s="20" t="s">
        <v>320</v>
      </c>
    </row>
    <row r="4" spans="1:3">
      <c r="A4" s="29" t="s">
        <v>30</v>
      </c>
    </row>
    <row r="5" spans="1:3">
      <c r="A5" s="29" t="s">
        <v>43</v>
      </c>
    </row>
    <row r="6" spans="1:3">
      <c r="A6" s="22" t="s">
        <v>124</v>
      </c>
    </row>
    <row r="7" spans="1:3">
      <c r="A7" s="29" t="s">
        <v>182</v>
      </c>
    </row>
    <row r="8" spans="1:3">
      <c r="A8" s="22" t="s">
        <v>64</v>
      </c>
    </row>
    <row r="9" spans="1:3">
      <c r="A9" s="29" t="s">
        <v>321</v>
      </c>
    </row>
    <row r="11" spans="1:3">
      <c r="A11" s="20" t="s">
        <v>322</v>
      </c>
    </row>
    <row r="12" spans="1:3">
      <c r="A12" s="22" t="s">
        <v>323</v>
      </c>
    </row>
    <row r="13" spans="1:3">
      <c r="A13" s="29" t="s">
        <v>324</v>
      </c>
    </row>
    <row r="14" spans="1:3">
      <c r="A14" s="22" t="s">
        <v>237</v>
      </c>
    </row>
    <row r="15" spans="1:3">
      <c r="A15" s="29" t="s">
        <v>325</v>
      </c>
    </row>
    <row r="16" spans="1:3">
      <c r="A16" s="22" t="s">
        <v>326</v>
      </c>
    </row>
    <row r="17" spans="1:1">
      <c r="A17" s="29" t="s">
        <v>327</v>
      </c>
    </row>
    <row r="18" spans="1:1">
      <c r="A18" s="22" t="s">
        <v>328</v>
      </c>
    </row>
    <row r="19" spans="1:1">
      <c r="A19" s="29" t="s">
        <v>329</v>
      </c>
    </row>
    <row r="21" spans="1:1">
      <c r="A21" s="20" t="s">
        <v>330</v>
      </c>
    </row>
    <row r="22" spans="1:1">
      <c r="A22" s="22" t="s">
        <v>265</v>
      </c>
    </row>
    <row r="23" spans="1:1">
      <c r="A23" s="29" t="s">
        <v>256</v>
      </c>
    </row>
    <row r="24" spans="1:1">
      <c r="A24" s="22" t="s">
        <v>206</v>
      </c>
    </row>
    <row r="25" spans="1:1">
      <c r="A25" s="29" t="s">
        <v>271</v>
      </c>
    </row>
    <row r="27" spans="1:1">
      <c r="A27" s="20" t="s">
        <v>331</v>
      </c>
    </row>
    <row r="28" spans="1:1">
      <c r="A28" s="22" t="s">
        <v>234</v>
      </c>
    </row>
    <row r="29" spans="1:1">
      <c r="A29" s="29" t="s">
        <v>332</v>
      </c>
    </row>
    <row r="30" spans="1:1">
      <c r="A30" s="22" t="s">
        <v>333</v>
      </c>
    </row>
    <row r="31" spans="1:1">
      <c r="A31" s="29" t="s">
        <v>334</v>
      </c>
    </row>
    <row r="32" spans="1:1">
      <c r="A32" s="22" t="s">
        <v>335</v>
      </c>
    </row>
    <row r="34" spans="1:1">
      <c r="A34" s="20" t="s">
        <v>336</v>
      </c>
    </row>
    <row r="35" spans="1:1">
      <c r="A35" s="29" t="s">
        <v>337</v>
      </c>
    </row>
    <row r="36" spans="1:1">
      <c r="A36" s="22" t="s">
        <v>76</v>
      </c>
    </row>
    <row r="37" spans="1:1">
      <c r="A37" s="29" t="s">
        <v>338</v>
      </c>
    </row>
    <row r="38" spans="1:1">
      <c r="A38" s="22" t="s">
        <v>339</v>
      </c>
    </row>
    <row r="39" spans="1:1">
      <c r="A39" s="29" t="s">
        <v>340</v>
      </c>
    </row>
    <row r="40" spans="1:1">
      <c r="A40" s="22" t="s">
        <v>341</v>
      </c>
    </row>
    <row r="41" spans="1:1">
      <c r="A41" s="29" t="s">
        <v>34</v>
      </c>
    </row>
    <row r="43" spans="1:1">
      <c r="A43" s="20" t="s">
        <v>342</v>
      </c>
    </row>
    <row r="44" spans="1:1">
      <c r="A44" s="46" t="s">
        <v>343</v>
      </c>
    </row>
    <row r="45" spans="1:1">
      <c r="A45" s="46" t="s">
        <v>344</v>
      </c>
    </row>
    <row r="46" spans="1:1">
      <c r="A46" s="46" t="s">
        <v>345</v>
      </c>
    </row>
    <row r="47" spans="1:1">
      <c r="A47" s="46" t="s">
        <v>346</v>
      </c>
    </row>
    <row r="48" spans="1:1">
      <c r="A48" s="47" t="s">
        <v>347</v>
      </c>
    </row>
    <row r="49" spans="1:1">
      <c r="A49" s="47" t="s">
        <v>348</v>
      </c>
    </row>
    <row r="51" spans="1:1">
      <c r="A51" s="36" t="s">
        <v>349</v>
      </c>
    </row>
    <row r="52" spans="1:1">
      <c r="A52" s="22" t="s">
        <v>350</v>
      </c>
    </row>
    <row r="53" spans="1:1">
      <c r="A53" s="29" t="s">
        <v>351</v>
      </c>
    </row>
    <row r="54" spans="1:1">
      <c r="A54" s="22" t="s">
        <v>352</v>
      </c>
    </row>
    <row r="55" spans="1:1">
      <c r="A55" s="29" t="s">
        <v>208</v>
      </c>
    </row>
    <row r="56" spans="1:1">
      <c r="A56" s="22" t="s">
        <v>353</v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40E99-CF0B-4133-8850-8022EC28BBE6}">
  <dimension ref="C3:X12"/>
  <sheetViews>
    <sheetView topLeftCell="A6" workbookViewId="0">
      <selection activeCell="C12" sqref="C12:X12"/>
    </sheetView>
  </sheetViews>
  <sheetFormatPr defaultRowHeight="15"/>
  <sheetData>
    <row r="3" spans="3:24" ht="37.5">
      <c r="C3" s="3" t="s">
        <v>191</v>
      </c>
      <c r="D3" s="3" t="s">
        <v>62</v>
      </c>
      <c r="E3" s="3" t="s">
        <v>39</v>
      </c>
      <c r="F3" s="3">
        <v>5</v>
      </c>
      <c r="G3" s="3" t="s">
        <v>86</v>
      </c>
      <c r="H3" s="3"/>
      <c r="I3" s="3"/>
      <c r="J3" s="33">
        <v>46082</v>
      </c>
      <c r="K3" s="3"/>
      <c r="L3" s="24">
        <f ca="1">IF(J3&lt;&gt;"",TODAY()-J3,"")</f>
        <v>200</v>
      </c>
      <c r="M3" s="3" t="s">
        <v>182</v>
      </c>
      <c r="N3" s="3" t="s">
        <v>73</v>
      </c>
      <c r="O3" s="33">
        <v>46026</v>
      </c>
      <c r="P3" s="26">
        <f>IF(N3="Learner Pool",IF(O3&lt;&gt;"",O3+60,""),"N/A")</f>
        <v>46086</v>
      </c>
      <c r="Q3" s="27" t="str">
        <f ca="1">IF(N3="Innovation Pool","No duration limit",IF(OR(O3="",P3=""),"—",IF(P3&lt;TODAY(),"⚠ Review Overdue","Review in "&amp;TEXT(P3-TODAY(),"0")&amp;" days")))</f>
        <v>⚠ Review Overdue</v>
      </c>
      <c r="R3" s="28" t="s">
        <v>96</v>
      </c>
      <c r="S3" s="3"/>
      <c r="T3" s="3"/>
      <c r="U3" s="3"/>
      <c r="V3" s="3"/>
      <c r="W3" s="3"/>
      <c r="X3" s="3" t="s">
        <v>354</v>
      </c>
    </row>
    <row r="4" spans="3:24" ht="37.5">
      <c r="C4" s="3" t="s">
        <v>194</v>
      </c>
      <c r="D4" s="3" t="s">
        <v>121</v>
      </c>
      <c r="E4" s="3" t="s">
        <v>122</v>
      </c>
      <c r="F4" s="3">
        <v>0</v>
      </c>
      <c r="G4" s="3" t="s">
        <v>104</v>
      </c>
      <c r="H4" s="3"/>
      <c r="I4" s="3"/>
      <c r="J4" s="33">
        <v>46157</v>
      </c>
      <c r="K4" s="3"/>
      <c r="L4" s="34">
        <f ca="1">IF(J4&lt;&gt;"",TODAY()-J4,"")</f>
        <v>125</v>
      </c>
      <c r="M4" s="3" t="s">
        <v>124</v>
      </c>
      <c r="N4" s="3" t="s">
        <v>73</v>
      </c>
      <c r="O4" s="11">
        <v>46157</v>
      </c>
      <c r="P4" s="26">
        <f>IF(N4="Learner Pool",IF(O4&lt;&gt;"",O4+60,""),"N/A")</f>
        <v>46217</v>
      </c>
      <c r="Q4" s="27" t="str">
        <f ca="1">IF(N4="Innovation Pool","No duration limit",IF(OR(O4="",P4=""),"—",IF(P4&lt;TODAY(),"⚠ Review Overdue","Review in "&amp;TEXT(P4-TODAY(),"0")&amp;" days")))</f>
        <v>⚠ Review Overdue</v>
      </c>
      <c r="R4" s="28" t="s">
        <v>125</v>
      </c>
      <c r="S4" s="3"/>
      <c r="T4" s="3"/>
      <c r="U4" s="3"/>
      <c r="V4" s="3"/>
      <c r="W4" s="3"/>
      <c r="X4" s="3"/>
    </row>
    <row r="6" spans="3:24" ht="57.75">
      <c r="C6" s="10" t="s">
        <v>222</v>
      </c>
      <c r="D6" s="3" t="s">
        <v>92</v>
      </c>
      <c r="E6" s="3" t="s">
        <v>39</v>
      </c>
      <c r="F6" s="3">
        <v>2</v>
      </c>
      <c r="G6" s="3" t="s">
        <v>93</v>
      </c>
      <c r="H6" s="3" t="s">
        <v>94</v>
      </c>
      <c r="I6" s="3"/>
      <c r="J6" s="48">
        <v>45915</v>
      </c>
      <c r="K6" s="48">
        <v>46174</v>
      </c>
      <c r="L6" s="49">
        <f ca="1">IF(J6&lt;&gt;"",TODAY()-J6,"")</f>
        <v>367</v>
      </c>
      <c r="M6" s="3" t="s">
        <v>321</v>
      </c>
      <c r="N6" s="3" t="s">
        <v>31</v>
      </c>
      <c r="O6" s="51">
        <v>45943</v>
      </c>
      <c r="P6" s="51" t="str">
        <f>IF(N6="Learner Pool",IF(O6&lt;&gt;"",O6+60,""),"N/A")</f>
        <v>N/A</v>
      </c>
      <c r="Q6" s="52" t="str">
        <f ca="1">IF(N6="Innovation Pool","No duration limit",IF(OR(O6="",P6=""),"—",IF(P6&lt;TODAY(),"⚠ Review Overdue","Review in "&amp;TEXT(P6-TODAY(),"0")&amp;" days")))</f>
        <v>No duration limit</v>
      </c>
      <c r="R6" s="53" t="s">
        <v>355</v>
      </c>
      <c r="S6" s="35"/>
      <c r="T6" s="35"/>
      <c r="U6" s="3">
        <v>100</v>
      </c>
      <c r="V6" s="6" t="s">
        <v>92</v>
      </c>
      <c r="W6" s="3" t="s">
        <v>34</v>
      </c>
      <c r="X6" s="54" t="s">
        <v>356</v>
      </c>
    </row>
    <row r="8" spans="3:24" ht="14.25">
      <c r="C8" s="3" t="s">
        <v>192</v>
      </c>
      <c r="D8" s="3" t="s">
        <v>121</v>
      </c>
      <c r="E8" s="3" t="s">
        <v>122</v>
      </c>
      <c r="F8" s="3">
        <v>0</v>
      </c>
      <c r="G8" s="3" t="s">
        <v>93</v>
      </c>
      <c r="H8" s="3"/>
      <c r="I8" s="3"/>
      <c r="J8" s="48">
        <v>46097</v>
      </c>
      <c r="K8" s="3"/>
      <c r="L8" s="49">
        <f ca="1">IF(J8&lt;&gt;"",TODAY()-J8,"")</f>
        <v>185</v>
      </c>
      <c r="M8" s="3" t="s">
        <v>124</v>
      </c>
      <c r="N8" s="3"/>
      <c r="O8" s="11">
        <v>46097</v>
      </c>
      <c r="P8" s="51" t="str">
        <f>IF(N8="Learner Pool",IF(O8&lt;&gt;"",O8+60,""),"N/A")</f>
        <v>N/A</v>
      </c>
      <c r="Q8" s="52" t="e">
        <f ca="1">IF(N8="Innovation Pool","No duration limit",IF(OR(O8="",P8=""),"—",IF(P8&lt;TODAY(),"⚠ Review Overdue","Review in "&amp;TEXT(P8-TODAY(),"0")&amp;" days")))</f>
        <v>#VALUE!</v>
      </c>
      <c r="R8" s="53" t="s">
        <v>96</v>
      </c>
      <c r="S8" s="3"/>
      <c r="T8" s="3"/>
      <c r="U8" s="3"/>
      <c r="V8" s="3"/>
      <c r="W8" s="3"/>
      <c r="X8" s="3"/>
    </row>
    <row r="9" spans="3:24" ht="118.5">
      <c r="C9" s="22" t="s">
        <v>177</v>
      </c>
      <c r="D9" s="22" t="s">
        <v>62</v>
      </c>
      <c r="E9" s="22" t="s">
        <v>39</v>
      </c>
      <c r="F9" s="22">
        <v>3.5</v>
      </c>
      <c r="G9" s="22" t="s">
        <v>357</v>
      </c>
      <c r="H9" s="22" t="s">
        <v>358</v>
      </c>
      <c r="I9" s="22"/>
      <c r="J9" s="23">
        <v>45573</v>
      </c>
      <c r="K9" s="23">
        <v>46256</v>
      </c>
      <c r="L9" s="24">
        <f ca="1">IF(J9&lt;&gt;"",TODAY()-J9,"")</f>
        <v>709</v>
      </c>
      <c r="M9" s="22" t="s">
        <v>30</v>
      </c>
      <c r="N9" s="25" t="s">
        <v>31</v>
      </c>
      <c r="O9" s="26">
        <v>45889</v>
      </c>
      <c r="P9" s="26" t="str">
        <f>IF(N9="Learner Pool",IF(O9&lt;&gt;"",O9+60,""),"N/A")</f>
        <v>N/A</v>
      </c>
      <c r="Q9" s="27" t="str">
        <f ca="1">IF(N9="Innovation Pool","No duration limit",IF(OR(O9="",P9=""),"—",IF(P9&lt;TODAY(),"⚠ Review Overdue","Review in "&amp;TEXT(P9-TODAY(),"0")&amp;" days")))</f>
        <v>No duration limit</v>
      </c>
      <c r="R9" s="28" t="s">
        <v>32</v>
      </c>
      <c r="S9" s="22" t="s">
        <v>87</v>
      </c>
      <c r="T9" s="23">
        <v>46203</v>
      </c>
      <c r="U9" s="22">
        <v>80</v>
      </c>
      <c r="V9" s="22" t="s">
        <v>89</v>
      </c>
      <c r="W9" s="22" t="s">
        <v>34</v>
      </c>
      <c r="X9" s="22" t="s">
        <v>35</v>
      </c>
    </row>
    <row r="11" spans="3:24" ht="48">
      <c r="C11" s="75" t="s">
        <v>181</v>
      </c>
      <c r="D11" s="75" t="s">
        <v>69</v>
      </c>
      <c r="E11" s="75" t="s">
        <v>70</v>
      </c>
      <c r="F11" s="75">
        <v>5</v>
      </c>
      <c r="G11" s="75" t="s">
        <v>183</v>
      </c>
      <c r="H11" s="75" t="s">
        <v>359</v>
      </c>
      <c r="I11" s="75"/>
      <c r="J11" s="76">
        <v>45870</v>
      </c>
      <c r="K11" s="76">
        <v>46256</v>
      </c>
      <c r="L11" s="77">
        <f ca="1">IF(J11&lt;&gt;"",TODAY()-J11,"")</f>
        <v>412</v>
      </c>
      <c r="M11" s="75" t="s">
        <v>182</v>
      </c>
      <c r="N11" s="78" t="s">
        <v>31</v>
      </c>
      <c r="O11" s="79">
        <v>45889</v>
      </c>
      <c r="P11" s="79" t="str">
        <f>IF(N11="Learner Pool",IF(O11&lt;&gt;"",O11+60,""),"N/A")</f>
        <v>N/A</v>
      </c>
      <c r="Q11" s="80" t="str">
        <f ca="1">IF(N11="Innovation Pool","No duration limit",IF(OR(O11="",P11=""),"—",IF(P11&lt;TODAY(),"⚠ Review Overdue","Review in "&amp;TEXT(P11-TODAY(),"0")&amp;" days")))</f>
        <v>No duration limit</v>
      </c>
      <c r="R11" s="81" t="s">
        <v>74</v>
      </c>
      <c r="S11" s="75"/>
      <c r="T11" s="75"/>
      <c r="U11" s="75">
        <v>90</v>
      </c>
      <c r="V11" s="75" t="s">
        <v>75</v>
      </c>
      <c r="W11" s="75" t="s">
        <v>34</v>
      </c>
      <c r="X11" s="75" t="s">
        <v>360</v>
      </c>
    </row>
    <row r="12" spans="3:24" ht="106.5">
      <c r="C12" s="8" t="s">
        <v>361</v>
      </c>
      <c r="D12" s="8" t="s">
        <v>69</v>
      </c>
      <c r="E12" s="8" t="s">
        <v>70</v>
      </c>
      <c r="F12" s="8">
        <v>18</v>
      </c>
      <c r="G12" s="8" t="s">
        <v>362</v>
      </c>
      <c r="H12" s="72" t="s">
        <v>363</v>
      </c>
      <c r="I12" s="8"/>
      <c r="J12" s="66">
        <v>46249</v>
      </c>
      <c r="K12" s="8"/>
      <c r="L12" s="67">
        <f ca="1">IF(J12&lt;&gt;"",TODAY()-J12,"")</f>
        <v>33</v>
      </c>
      <c r="M12" s="8" t="s">
        <v>321</v>
      </c>
      <c r="N12" s="8"/>
      <c r="O12" s="73">
        <v>46249</v>
      </c>
      <c r="P12" s="8"/>
      <c r="Q12" s="8"/>
      <c r="R12" s="8"/>
      <c r="S12" s="8"/>
      <c r="T12" s="8"/>
      <c r="U12" s="8">
        <v>100</v>
      </c>
      <c r="V12" s="8" t="s">
        <v>136</v>
      </c>
      <c r="W12" s="8" t="s">
        <v>34</v>
      </c>
      <c r="X12" s="72" t="s">
        <v>35</v>
      </c>
    </row>
  </sheetData>
  <conditionalFormatting sqref="L3">
    <cfRule type="cellIs" dxfId="198" priority="177" operator="greaterThan">
      <formula>15</formula>
    </cfRule>
    <cfRule type="cellIs" dxfId="197" priority="178" operator="between">
      <formula>8</formula>
      <formula>15</formula>
    </cfRule>
    <cfRule type="cellIs" dxfId="196" priority="196" operator="greaterThan">
      <formula>15</formula>
    </cfRule>
    <cfRule type="cellIs" dxfId="195" priority="197" operator="between">
      <formula>8</formula>
      <formula>15</formula>
    </cfRule>
    <cfRule type="cellIs" dxfId="194" priority="203" operator="greaterThanOrEqual">
      <formula>365</formula>
    </cfRule>
    <cfRule type="cellIs" dxfId="193" priority="204" operator="between">
      <formula>180</formula>
      <formula>364</formula>
    </cfRule>
    <cfRule type="cellIs" dxfId="192" priority="205" operator="between">
      <formula>90</formula>
      <formula>179</formula>
    </cfRule>
    <cfRule type="cellIs" dxfId="191" priority="206" operator="between">
      <formula>1</formula>
      <formula>89</formula>
    </cfRule>
  </conditionalFormatting>
  <conditionalFormatting sqref="M3">
    <cfRule type="cellIs" dxfId="190" priority="179" operator="equal">
      <formula>"Available"</formula>
    </cfRule>
    <cfRule type="cellIs" dxfId="189" priority="180" operator="equal">
      <formula>"In Training"</formula>
    </cfRule>
    <cfRule type="cellIs" dxfId="188" priority="181" operator="equal">
      <formula>"Shadow Mode"</formula>
    </cfRule>
    <cfRule type="cellIs" dxfId="187" priority="190" operator="equal">
      <formula>"Available"</formula>
    </cfRule>
    <cfRule type="cellIs" dxfId="186" priority="191" operator="equal">
      <formula>"In Training"</formula>
    </cfRule>
    <cfRule type="cellIs" dxfId="185" priority="192" operator="equal">
      <formula>"Shadow Mode"</formula>
    </cfRule>
    <cfRule type="cellIs" dxfId="184" priority="193" operator="equal">
      <formula>"On Leave"</formula>
    </cfRule>
    <cfRule type="cellIs" dxfId="183" priority="194" operator="equal">
      <formula>"Partial Available"</formula>
    </cfRule>
    <cfRule type="cellIs" dxfId="182" priority="195" operator="equal">
      <formula>"Allocated"</formula>
    </cfRule>
  </conditionalFormatting>
  <conditionalFormatting sqref="N3">
    <cfRule type="cellIs" dxfId="181" priority="182" operator="equal">
      <formula>"Learner Pool"</formula>
    </cfRule>
    <cfRule type="cellIs" dxfId="180" priority="183" operator="equal">
      <formula>"Innovation Pool"</formula>
    </cfRule>
  </conditionalFormatting>
  <conditionalFormatting sqref="Q3">
    <cfRule type="expression" dxfId="179" priority="184">
      <formula>ISNUMBER(SEARCH("Overdue",Q3))</formula>
    </cfRule>
    <cfRule type="cellIs" dxfId="178" priority="185" operator="equal">
      <formula>"No duration limit"</formula>
    </cfRule>
  </conditionalFormatting>
  <conditionalFormatting sqref="N3">
    <cfRule type="cellIs" dxfId="177" priority="186" operator="equal">
      <formula>"Learner Pool"</formula>
    </cfRule>
    <cfRule type="cellIs" dxfId="176" priority="187" operator="equal">
      <formula>"Innovation Pool"</formula>
    </cfRule>
  </conditionalFormatting>
  <conditionalFormatting sqref="Q3">
    <cfRule type="expression" dxfId="175" priority="188">
      <formula>ISNUMBER(SEARCH("Overdue",Q3))</formula>
    </cfRule>
    <cfRule type="cellIs" dxfId="174" priority="189" operator="equal">
      <formula>"No duration limit"</formula>
    </cfRule>
  </conditionalFormatting>
  <conditionalFormatting sqref="T3">
    <cfRule type="colorScale" priority="198">
      <colorScale>
        <cfvo type="num" val="0"/>
        <cfvo type="num" val="60"/>
        <cfvo type="num" val="100"/>
        <color rgb="FFFCEBEB"/>
        <color rgb="FFFAEEDA"/>
        <color rgb="FFE1F5EE"/>
      </colorScale>
    </cfRule>
  </conditionalFormatting>
  <conditionalFormatting sqref="R3">
    <cfRule type="expression" dxfId="173" priority="199">
      <formula>ISNUMBER(SEARCH("Critical",R3))</formula>
    </cfRule>
    <cfRule type="expression" dxfId="172" priority="200">
      <formula>ISNUMBER(SEARCH("Action Needed",R3))</formula>
    </cfRule>
    <cfRule type="expression" dxfId="171" priority="201">
      <formula>ISNUMBER(SEARCH("Watch",R3))</formula>
    </cfRule>
    <cfRule type="expression" dxfId="170" priority="202">
      <formula>ISNUMBER(SEARCH("On Track",R3))</formula>
    </cfRule>
  </conditionalFormatting>
  <conditionalFormatting sqref="L4">
    <cfRule type="cellIs" dxfId="169" priority="147" operator="greaterThan">
      <formula>15</formula>
    </cfRule>
    <cfRule type="cellIs" dxfId="168" priority="148" operator="between">
      <formula>8</formula>
      <formula>15</formula>
    </cfRule>
    <cfRule type="cellIs" dxfId="167" priority="166" operator="greaterThan">
      <formula>15</formula>
    </cfRule>
    <cfRule type="cellIs" dxfId="166" priority="167" operator="between">
      <formula>8</formula>
      <formula>15</formula>
    </cfRule>
    <cfRule type="cellIs" dxfId="165" priority="173" operator="greaterThanOrEqual">
      <formula>365</formula>
    </cfRule>
    <cfRule type="cellIs" dxfId="164" priority="174" operator="between">
      <formula>180</formula>
      <formula>364</formula>
    </cfRule>
    <cfRule type="cellIs" dxfId="163" priority="175" operator="between">
      <formula>90</formula>
      <formula>179</formula>
    </cfRule>
    <cfRule type="cellIs" dxfId="162" priority="176" operator="between">
      <formula>1</formula>
      <formula>89</formula>
    </cfRule>
  </conditionalFormatting>
  <conditionalFormatting sqref="M4">
    <cfRule type="cellIs" dxfId="161" priority="149" operator="equal">
      <formula>"Available"</formula>
    </cfRule>
    <cfRule type="cellIs" dxfId="160" priority="150" operator="equal">
      <formula>"In Training"</formula>
    </cfRule>
    <cfRule type="cellIs" dxfId="159" priority="151" operator="equal">
      <formula>"Shadow Mode"</formula>
    </cfRule>
    <cfRule type="cellIs" dxfId="158" priority="160" operator="equal">
      <formula>"Available"</formula>
    </cfRule>
    <cfRule type="cellIs" dxfId="157" priority="161" operator="equal">
      <formula>"In Training"</formula>
    </cfRule>
    <cfRule type="cellIs" dxfId="156" priority="162" operator="equal">
      <formula>"Shadow Mode"</formula>
    </cfRule>
    <cfRule type="cellIs" dxfId="155" priority="163" operator="equal">
      <formula>"On Leave"</formula>
    </cfRule>
    <cfRule type="cellIs" dxfId="154" priority="164" operator="equal">
      <formula>"Partial Available"</formula>
    </cfRule>
    <cfRule type="cellIs" dxfId="153" priority="165" operator="equal">
      <formula>"Allocated"</formula>
    </cfRule>
  </conditionalFormatting>
  <conditionalFormatting sqref="N4">
    <cfRule type="cellIs" dxfId="152" priority="152" operator="equal">
      <formula>"Learner Pool"</formula>
    </cfRule>
    <cfRule type="cellIs" dxfId="151" priority="153" operator="equal">
      <formula>"Innovation Pool"</formula>
    </cfRule>
  </conditionalFormatting>
  <conditionalFormatting sqref="Q4">
    <cfRule type="expression" dxfId="150" priority="154">
      <formula>ISNUMBER(SEARCH("Overdue",Q4))</formula>
    </cfRule>
    <cfRule type="cellIs" dxfId="149" priority="155" operator="equal">
      <formula>"No duration limit"</formula>
    </cfRule>
  </conditionalFormatting>
  <conditionalFormatting sqref="N4">
    <cfRule type="cellIs" dxfId="148" priority="156" operator="equal">
      <formula>"Learner Pool"</formula>
    </cfRule>
    <cfRule type="cellIs" dxfId="147" priority="157" operator="equal">
      <formula>"Innovation Pool"</formula>
    </cfRule>
  </conditionalFormatting>
  <conditionalFormatting sqref="Q4">
    <cfRule type="expression" dxfId="146" priority="158">
      <formula>ISNUMBER(SEARCH("Overdue",Q4))</formula>
    </cfRule>
    <cfRule type="cellIs" dxfId="145" priority="159" operator="equal">
      <formula>"No duration limit"</formula>
    </cfRule>
  </conditionalFormatting>
  <conditionalFormatting sqref="T4">
    <cfRule type="colorScale" priority="168">
      <colorScale>
        <cfvo type="num" val="0"/>
        <cfvo type="num" val="60"/>
        <cfvo type="num" val="100"/>
        <color rgb="FFFCEBEB"/>
        <color rgb="FFFAEEDA"/>
        <color rgb="FFE1F5EE"/>
      </colorScale>
    </cfRule>
  </conditionalFormatting>
  <conditionalFormatting sqref="R4">
    <cfRule type="expression" dxfId="144" priority="169">
      <formula>ISNUMBER(SEARCH("Critical",R4))</formula>
    </cfRule>
    <cfRule type="expression" dxfId="143" priority="170">
      <formula>ISNUMBER(SEARCH("Action Needed",R4))</formula>
    </cfRule>
    <cfRule type="expression" dxfId="142" priority="171">
      <formula>ISNUMBER(SEARCH("Watch",R4))</formula>
    </cfRule>
    <cfRule type="expression" dxfId="141" priority="172">
      <formula>ISNUMBER(SEARCH("On Track",R4))</formula>
    </cfRule>
  </conditionalFormatting>
  <conditionalFormatting sqref="L6">
    <cfRule type="cellIs" dxfId="140" priority="117" operator="greaterThan">
      <formula>15</formula>
    </cfRule>
    <cfRule type="cellIs" dxfId="139" priority="118" operator="between">
      <formula>8</formula>
      <formula>15</formula>
    </cfRule>
    <cfRule type="cellIs" dxfId="138" priority="136" operator="greaterThan">
      <formula>15</formula>
    </cfRule>
    <cfRule type="cellIs" dxfId="137" priority="137" operator="between">
      <formula>8</formula>
      <formula>15</formula>
    </cfRule>
    <cfRule type="cellIs" dxfId="136" priority="143" operator="greaterThanOrEqual">
      <formula>365</formula>
    </cfRule>
    <cfRule type="cellIs" dxfId="135" priority="144" operator="between">
      <formula>180</formula>
      <formula>364</formula>
    </cfRule>
    <cfRule type="cellIs" dxfId="134" priority="145" operator="between">
      <formula>90</formula>
      <formula>179</formula>
    </cfRule>
    <cfRule type="cellIs" dxfId="133" priority="146" operator="between">
      <formula>1</formula>
      <formula>89</formula>
    </cfRule>
  </conditionalFormatting>
  <conditionalFormatting sqref="M6">
    <cfRule type="cellIs" dxfId="132" priority="119" operator="equal">
      <formula>"Available"</formula>
    </cfRule>
    <cfRule type="cellIs" dxfId="131" priority="120" operator="equal">
      <formula>"In Training"</formula>
    </cfRule>
    <cfRule type="cellIs" dxfId="130" priority="121" operator="equal">
      <formula>"Shadow Mode"</formula>
    </cfRule>
    <cfRule type="cellIs" dxfId="129" priority="130" operator="equal">
      <formula>"Available"</formula>
    </cfRule>
    <cfRule type="cellIs" dxfId="128" priority="131" operator="equal">
      <formula>"In Training"</formula>
    </cfRule>
    <cfRule type="cellIs" dxfId="127" priority="132" operator="equal">
      <formula>"Shadow Mode"</formula>
    </cfRule>
    <cfRule type="cellIs" dxfId="126" priority="133" operator="equal">
      <formula>"On Leave"</formula>
    </cfRule>
    <cfRule type="cellIs" dxfId="125" priority="134" operator="equal">
      <formula>"Partial Available"</formula>
    </cfRule>
    <cfRule type="cellIs" dxfId="124" priority="135" operator="equal">
      <formula>"Allocated"</formula>
    </cfRule>
  </conditionalFormatting>
  <conditionalFormatting sqref="N6">
    <cfRule type="cellIs" dxfId="123" priority="122" operator="equal">
      <formula>"Learner Pool"</formula>
    </cfRule>
    <cfRule type="cellIs" dxfId="122" priority="123" operator="equal">
      <formula>"Innovation Pool"</formula>
    </cfRule>
  </conditionalFormatting>
  <conditionalFormatting sqref="Q6">
    <cfRule type="expression" dxfId="121" priority="124">
      <formula>ISNUMBER(SEARCH("Overdue",Q6))</formula>
    </cfRule>
    <cfRule type="cellIs" dxfId="120" priority="125" operator="equal">
      <formula>"No duration limit"</formula>
    </cfRule>
  </conditionalFormatting>
  <conditionalFormatting sqref="N6">
    <cfRule type="cellIs" dxfId="119" priority="126" operator="equal">
      <formula>"Learner Pool"</formula>
    </cfRule>
    <cfRule type="cellIs" dxfId="118" priority="127" operator="equal">
      <formula>"Innovation Pool"</formula>
    </cfRule>
  </conditionalFormatting>
  <conditionalFormatting sqref="Q6">
    <cfRule type="expression" dxfId="117" priority="128">
      <formula>ISNUMBER(SEARCH("Overdue",Q6))</formula>
    </cfRule>
    <cfRule type="cellIs" dxfId="116" priority="129" operator="equal">
      <formula>"No duration limit"</formula>
    </cfRule>
  </conditionalFormatting>
  <conditionalFormatting sqref="T6">
    <cfRule type="colorScale" priority="138">
      <colorScale>
        <cfvo type="num" val="0"/>
        <cfvo type="num" val="60"/>
        <cfvo type="num" val="100"/>
        <color rgb="FFFCEBEB"/>
        <color rgb="FFFAEEDA"/>
        <color rgb="FFE1F5EE"/>
      </colorScale>
    </cfRule>
  </conditionalFormatting>
  <conditionalFormatting sqref="R6">
    <cfRule type="expression" dxfId="115" priority="139">
      <formula>ISNUMBER(SEARCH("Critical",R6))</formula>
    </cfRule>
    <cfRule type="expression" dxfId="114" priority="140">
      <formula>ISNUMBER(SEARCH("Action Needed",R6))</formula>
    </cfRule>
    <cfRule type="expression" dxfId="113" priority="141">
      <formula>ISNUMBER(SEARCH("Watch",R6))</formula>
    </cfRule>
    <cfRule type="expression" dxfId="112" priority="142">
      <formula>ISNUMBER(SEARCH("On Track",R6))</formula>
    </cfRule>
  </conditionalFormatting>
  <conditionalFormatting sqref="L8">
    <cfRule type="cellIs" dxfId="111" priority="87" operator="greaterThan">
      <formula>15</formula>
    </cfRule>
    <cfRule type="cellIs" dxfId="110" priority="88" operator="between">
      <formula>8</formula>
      <formula>15</formula>
    </cfRule>
    <cfRule type="cellIs" dxfId="109" priority="106" operator="greaterThan">
      <formula>15</formula>
    </cfRule>
    <cfRule type="cellIs" dxfId="108" priority="107" operator="between">
      <formula>8</formula>
      <formula>15</formula>
    </cfRule>
    <cfRule type="cellIs" dxfId="107" priority="113" operator="greaterThanOrEqual">
      <formula>365</formula>
    </cfRule>
    <cfRule type="cellIs" dxfId="106" priority="114" operator="between">
      <formula>180</formula>
      <formula>364</formula>
    </cfRule>
    <cfRule type="cellIs" dxfId="105" priority="115" operator="between">
      <formula>90</formula>
      <formula>179</formula>
    </cfRule>
    <cfRule type="cellIs" dxfId="104" priority="116" operator="between">
      <formula>1</formula>
      <formula>89</formula>
    </cfRule>
  </conditionalFormatting>
  <conditionalFormatting sqref="M8">
    <cfRule type="cellIs" dxfId="103" priority="89" operator="equal">
      <formula>"Available"</formula>
    </cfRule>
    <cfRule type="cellIs" dxfId="102" priority="90" operator="equal">
      <formula>"In Training"</formula>
    </cfRule>
    <cfRule type="cellIs" dxfId="101" priority="91" operator="equal">
      <formula>"Shadow Mode"</formula>
    </cfRule>
    <cfRule type="cellIs" dxfId="100" priority="100" operator="equal">
      <formula>"Available"</formula>
    </cfRule>
    <cfRule type="cellIs" dxfId="99" priority="101" operator="equal">
      <formula>"In Training"</formula>
    </cfRule>
    <cfRule type="cellIs" dxfId="98" priority="102" operator="equal">
      <formula>"Shadow Mode"</formula>
    </cfRule>
    <cfRule type="cellIs" dxfId="97" priority="103" operator="equal">
      <formula>"On Leave"</formula>
    </cfRule>
    <cfRule type="cellIs" dxfId="96" priority="104" operator="equal">
      <formula>"Partial Available"</formula>
    </cfRule>
    <cfRule type="cellIs" dxfId="95" priority="105" operator="equal">
      <formula>"Allocated"</formula>
    </cfRule>
  </conditionalFormatting>
  <conditionalFormatting sqref="N8">
    <cfRule type="cellIs" dxfId="94" priority="92" operator="equal">
      <formula>"Learner Pool"</formula>
    </cfRule>
    <cfRule type="cellIs" dxfId="93" priority="93" operator="equal">
      <formula>"Innovation Pool"</formula>
    </cfRule>
  </conditionalFormatting>
  <conditionalFormatting sqref="Q8">
    <cfRule type="expression" dxfId="92" priority="94">
      <formula>ISNUMBER(SEARCH("Overdue",Q8))</formula>
    </cfRule>
    <cfRule type="cellIs" dxfId="91" priority="95" operator="equal">
      <formula>"No duration limit"</formula>
    </cfRule>
  </conditionalFormatting>
  <conditionalFormatting sqref="N8">
    <cfRule type="cellIs" dxfId="90" priority="96" operator="equal">
      <formula>"Learner Pool"</formula>
    </cfRule>
    <cfRule type="cellIs" dxfId="89" priority="97" operator="equal">
      <formula>"Innovation Pool"</formula>
    </cfRule>
  </conditionalFormatting>
  <conditionalFormatting sqref="Q8">
    <cfRule type="expression" dxfId="88" priority="98">
      <formula>ISNUMBER(SEARCH("Overdue",Q8))</formula>
    </cfRule>
    <cfRule type="cellIs" dxfId="87" priority="99" operator="equal">
      <formula>"No duration limit"</formula>
    </cfRule>
  </conditionalFormatting>
  <conditionalFormatting sqref="T8">
    <cfRule type="colorScale" priority="108">
      <colorScale>
        <cfvo type="num" val="0"/>
        <cfvo type="num" val="60"/>
        <cfvo type="num" val="100"/>
        <color rgb="FFFCEBEB"/>
        <color rgb="FFFAEEDA"/>
        <color rgb="FFE1F5EE"/>
      </colorScale>
    </cfRule>
  </conditionalFormatting>
  <conditionalFormatting sqref="R8">
    <cfRule type="expression" dxfId="86" priority="109">
      <formula>ISNUMBER(SEARCH("Critical",R8))</formula>
    </cfRule>
    <cfRule type="expression" dxfId="85" priority="110">
      <formula>ISNUMBER(SEARCH("Action Needed",R8))</formula>
    </cfRule>
    <cfRule type="expression" dxfId="84" priority="111">
      <formula>ISNUMBER(SEARCH("Watch",R8))</formula>
    </cfRule>
    <cfRule type="expression" dxfId="83" priority="112">
      <formula>ISNUMBER(SEARCH("On Track",R8))</formula>
    </cfRule>
  </conditionalFormatting>
  <conditionalFormatting sqref="L9">
    <cfRule type="cellIs" dxfId="82" priority="57" operator="greaterThan">
      <formula>15</formula>
    </cfRule>
    <cfRule type="cellIs" dxfId="81" priority="58" operator="between">
      <formula>8</formula>
      <formula>15</formula>
    </cfRule>
    <cfRule type="cellIs" dxfId="80" priority="76" operator="greaterThan">
      <formula>15</formula>
    </cfRule>
    <cfRule type="cellIs" dxfId="79" priority="77" operator="between">
      <formula>8</formula>
      <formula>15</formula>
    </cfRule>
    <cfRule type="cellIs" dxfId="78" priority="83" operator="greaterThanOrEqual">
      <formula>365</formula>
    </cfRule>
    <cfRule type="cellIs" dxfId="77" priority="84" operator="between">
      <formula>180</formula>
      <formula>364</formula>
    </cfRule>
    <cfRule type="cellIs" dxfId="76" priority="85" operator="between">
      <formula>90</formula>
      <formula>179</formula>
    </cfRule>
    <cfRule type="cellIs" dxfId="75" priority="86" operator="between">
      <formula>1</formula>
      <formula>89</formula>
    </cfRule>
  </conditionalFormatting>
  <conditionalFormatting sqref="M9">
    <cfRule type="cellIs" dxfId="74" priority="59" operator="equal">
      <formula>"Available"</formula>
    </cfRule>
    <cfRule type="cellIs" dxfId="73" priority="60" operator="equal">
      <formula>"In Training"</formula>
    </cfRule>
    <cfRule type="cellIs" dxfId="72" priority="61" operator="equal">
      <formula>"Shadow Mode"</formula>
    </cfRule>
    <cfRule type="cellIs" dxfId="71" priority="70" operator="equal">
      <formula>"Available"</formula>
    </cfRule>
    <cfRule type="cellIs" dxfId="70" priority="71" operator="equal">
      <formula>"In Training"</formula>
    </cfRule>
    <cfRule type="cellIs" dxfId="69" priority="72" operator="equal">
      <formula>"Shadow Mode"</formula>
    </cfRule>
    <cfRule type="cellIs" dxfId="68" priority="73" operator="equal">
      <formula>"On Leave"</formula>
    </cfRule>
    <cfRule type="cellIs" dxfId="67" priority="74" operator="equal">
      <formula>"Partial Available"</formula>
    </cfRule>
    <cfRule type="cellIs" dxfId="66" priority="75" operator="equal">
      <formula>"Allocated"</formula>
    </cfRule>
  </conditionalFormatting>
  <conditionalFormatting sqref="N9">
    <cfRule type="cellIs" dxfId="65" priority="62" operator="equal">
      <formula>"Learner Pool"</formula>
    </cfRule>
    <cfRule type="cellIs" dxfId="64" priority="63" operator="equal">
      <formula>"Innovation Pool"</formula>
    </cfRule>
  </conditionalFormatting>
  <conditionalFormatting sqref="Q9">
    <cfRule type="expression" dxfId="63" priority="64">
      <formula>ISNUMBER(SEARCH("Overdue",Q9))</formula>
    </cfRule>
    <cfRule type="cellIs" dxfId="62" priority="65" operator="equal">
      <formula>"No duration limit"</formula>
    </cfRule>
  </conditionalFormatting>
  <conditionalFormatting sqref="N9">
    <cfRule type="cellIs" dxfId="61" priority="66" operator="equal">
      <formula>"Learner Pool"</formula>
    </cfRule>
    <cfRule type="cellIs" dxfId="60" priority="67" operator="equal">
      <formula>"Innovation Pool"</formula>
    </cfRule>
  </conditionalFormatting>
  <conditionalFormatting sqref="Q9">
    <cfRule type="expression" dxfId="59" priority="68">
      <formula>ISNUMBER(SEARCH("Overdue",Q9))</formula>
    </cfRule>
    <cfRule type="cellIs" dxfId="58" priority="69" operator="equal">
      <formula>"No duration limit"</formula>
    </cfRule>
  </conditionalFormatting>
  <conditionalFormatting sqref="T9">
    <cfRule type="colorScale" priority="78">
      <colorScale>
        <cfvo type="num" val="0"/>
        <cfvo type="num" val="60"/>
        <cfvo type="num" val="100"/>
        <color rgb="FFFCEBEB"/>
        <color rgb="FFFAEEDA"/>
        <color rgb="FFE1F5EE"/>
      </colorScale>
    </cfRule>
  </conditionalFormatting>
  <conditionalFormatting sqref="R9">
    <cfRule type="expression" dxfId="57" priority="79">
      <formula>ISNUMBER(SEARCH("Critical",R9))</formula>
    </cfRule>
    <cfRule type="expression" dxfId="56" priority="80">
      <formula>ISNUMBER(SEARCH("Action Needed",R9))</formula>
    </cfRule>
    <cfRule type="expression" dxfId="55" priority="81">
      <formula>ISNUMBER(SEARCH("Watch",R9))</formula>
    </cfRule>
    <cfRule type="expression" dxfId="54" priority="82">
      <formula>ISNUMBER(SEARCH("On Track",R9))</formula>
    </cfRule>
  </conditionalFormatting>
  <conditionalFormatting sqref="L11">
    <cfRule type="cellIs" dxfId="53" priority="27" operator="greaterThan">
      <formula>15</formula>
    </cfRule>
    <cfRule type="cellIs" dxfId="52" priority="28" operator="between">
      <formula>8</formula>
      <formula>15</formula>
    </cfRule>
    <cfRule type="cellIs" dxfId="51" priority="46" operator="greaterThan">
      <formula>15</formula>
    </cfRule>
    <cfRule type="cellIs" dxfId="50" priority="47" operator="between">
      <formula>8</formula>
      <formula>15</formula>
    </cfRule>
    <cfRule type="cellIs" dxfId="49" priority="53" operator="greaterThanOrEqual">
      <formula>365</formula>
    </cfRule>
    <cfRule type="cellIs" dxfId="48" priority="54" operator="between">
      <formula>180</formula>
      <formula>364</formula>
    </cfRule>
    <cfRule type="cellIs" dxfId="47" priority="55" operator="between">
      <formula>90</formula>
      <formula>179</formula>
    </cfRule>
    <cfRule type="cellIs" dxfId="46" priority="56" operator="between">
      <formula>1</formula>
      <formula>89</formula>
    </cfRule>
  </conditionalFormatting>
  <conditionalFormatting sqref="M11">
    <cfRule type="cellIs" dxfId="45" priority="29" operator="equal">
      <formula>"Available"</formula>
    </cfRule>
    <cfRule type="cellIs" dxfId="44" priority="30" operator="equal">
      <formula>"In Training"</formula>
    </cfRule>
    <cfRule type="cellIs" dxfId="43" priority="31" operator="equal">
      <formula>"Shadow Mode"</formula>
    </cfRule>
    <cfRule type="cellIs" dxfId="42" priority="40" operator="equal">
      <formula>"Available"</formula>
    </cfRule>
    <cfRule type="cellIs" dxfId="41" priority="41" operator="equal">
      <formula>"In Training"</formula>
    </cfRule>
    <cfRule type="cellIs" dxfId="40" priority="42" operator="equal">
      <formula>"Shadow Mode"</formula>
    </cfRule>
    <cfRule type="cellIs" dxfId="39" priority="43" operator="equal">
      <formula>"On Leave"</formula>
    </cfRule>
    <cfRule type="cellIs" dxfId="38" priority="44" operator="equal">
      <formula>"Partial Available"</formula>
    </cfRule>
    <cfRule type="cellIs" dxfId="37" priority="45" operator="equal">
      <formula>"Allocated"</formula>
    </cfRule>
  </conditionalFormatting>
  <conditionalFormatting sqref="N11">
    <cfRule type="cellIs" dxfId="36" priority="32" operator="equal">
      <formula>"Learner Pool"</formula>
    </cfRule>
    <cfRule type="cellIs" dxfId="35" priority="33" operator="equal">
      <formula>"Innovation Pool"</formula>
    </cfRule>
  </conditionalFormatting>
  <conditionalFormatting sqref="Q11">
    <cfRule type="expression" dxfId="34" priority="34">
      <formula>ISNUMBER(SEARCH("Overdue",Q11))</formula>
    </cfRule>
    <cfRule type="cellIs" dxfId="33" priority="35" operator="equal">
      <formula>"No duration limit"</formula>
    </cfRule>
  </conditionalFormatting>
  <conditionalFormatting sqref="N11">
    <cfRule type="cellIs" dxfId="32" priority="36" operator="equal">
      <formula>"Learner Pool"</formula>
    </cfRule>
    <cfRule type="cellIs" dxfId="31" priority="37" operator="equal">
      <formula>"Innovation Pool"</formula>
    </cfRule>
  </conditionalFormatting>
  <conditionalFormatting sqref="Q11">
    <cfRule type="expression" dxfId="30" priority="38">
      <formula>ISNUMBER(SEARCH("Overdue",Q11))</formula>
    </cfRule>
    <cfRule type="cellIs" dxfId="29" priority="39" operator="equal">
      <formula>"No duration limit"</formula>
    </cfRule>
  </conditionalFormatting>
  <conditionalFormatting sqref="T11">
    <cfRule type="colorScale" priority="48">
      <colorScale>
        <cfvo type="num" val="0"/>
        <cfvo type="num" val="60"/>
        <cfvo type="num" val="100"/>
        <color rgb="FFFCEBEB"/>
        <color rgb="FFFAEEDA"/>
        <color rgb="FFE1F5EE"/>
      </colorScale>
    </cfRule>
  </conditionalFormatting>
  <conditionalFormatting sqref="R11">
    <cfRule type="expression" dxfId="28" priority="49">
      <formula>ISNUMBER(SEARCH("Critical",R11))</formula>
    </cfRule>
    <cfRule type="expression" dxfId="27" priority="50">
      <formula>ISNUMBER(SEARCH("Action Needed",R11))</formula>
    </cfRule>
    <cfRule type="expression" dxfId="26" priority="51">
      <formula>ISNUMBER(SEARCH("Watch",R11))</formula>
    </cfRule>
    <cfRule type="expression" dxfId="25" priority="52">
      <formula>ISNUMBER(SEARCH("On Track",R11))</formula>
    </cfRule>
  </conditionalFormatting>
  <conditionalFormatting sqref="L12">
    <cfRule type="cellIs" dxfId="24" priority="1" operator="greaterThan">
      <formula>15</formula>
    </cfRule>
    <cfRule type="cellIs" dxfId="23" priority="2" operator="between">
      <formula>8</formula>
      <formula>15</formula>
    </cfRule>
    <cfRule type="cellIs" dxfId="22" priority="16" operator="greaterThan">
      <formula>15</formula>
    </cfRule>
    <cfRule type="cellIs" dxfId="21" priority="17" operator="between">
      <formula>8</formula>
      <formula>15</formula>
    </cfRule>
    <cfRule type="cellIs" dxfId="20" priority="23" operator="greaterThanOrEqual">
      <formula>365</formula>
    </cfRule>
    <cfRule type="cellIs" dxfId="19" priority="24" operator="between">
      <formula>180</formula>
      <formula>364</formula>
    </cfRule>
    <cfRule type="cellIs" dxfId="18" priority="25" operator="between">
      <formula>90</formula>
      <formula>179</formula>
    </cfRule>
    <cfRule type="cellIs" dxfId="17" priority="26" operator="between">
      <formula>1</formula>
      <formula>89</formula>
    </cfRule>
  </conditionalFormatting>
  <conditionalFormatting sqref="M12">
    <cfRule type="cellIs" dxfId="16" priority="3" operator="equal">
      <formula>"Available"</formula>
    </cfRule>
    <cfRule type="cellIs" dxfId="15" priority="4" operator="equal">
      <formula>"In Training"</formula>
    </cfRule>
    <cfRule type="cellIs" dxfId="14" priority="5" operator="equal">
      <formula>"Shadow Mode"</formula>
    </cfRule>
    <cfRule type="cellIs" dxfId="13" priority="10" operator="equal">
      <formula>"Available"</formula>
    </cfRule>
    <cfRule type="cellIs" dxfId="12" priority="11" operator="equal">
      <formula>"In Training"</formula>
    </cfRule>
    <cfRule type="cellIs" dxfId="11" priority="12" operator="equal">
      <formula>"Shadow Mode"</formula>
    </cfRule>
    <cfRule type="cellIs" dxfId="10" priority="13" operator="equal">
      <formula>"On Leave"</formula>
    </cfRule>
    <cfRule type="cellIs" dxfId="9" priority="14" operator="equal">
      <formula>"Partial Available"</formula>
    </cfRule>
    <cfRule type="cellIs" dxfId="8" priority="15" operator="equal">
      <formula>"Allocated"</formula>
    </cfRule>
  </conditionalFormatting>
  <conditionalFormatting sqref="N12">
    <cfRule type="cellIs" dxfId="7" priority="6" operator="equal">
      <formula>"Learner Pool"</formula>
    </cfRule>
    <cfRule type="cellIs" dxfId="6" priority="7" operator="equal">
      <formula>"Innovation Pool"</formula>
    </cfRule>
  </conditionalFormatting>
  <conditionalFormatting sqref="Q12">
    <cfRule type="expression" dxfId="5" priority="8">
      <formula>ISNUMBER(SEARCH("Overdue",Q12))</formula>
    </cfRule>
    <cfRule type="cellIs" dxfId="4" priority="9" operator="equal">
      <formula>"No duration limit"</formula>
    </cfRule>
  </conditionalFormatting>
  <conditionalFormatting sqref="T12">
    <cfRule type="colorScale" priority="18">
      <colorScale>
        <cfvo type="num" val="0"/>
        <cfvo type="num" val="60"/>
        <cfvo type="num" val="100"/>
        <color rgb="FFFCEBEB"/>
        <color rgb="FFFAEEDA"/>
        <color rgb="FFE1F5EE"/>
      </colorScale>
    </cfRule>
  </conditionalFormatting>
  <conditionalFormatting sqref="R12">
    <cfRule type="expression" dxfId="3" priority="19">
      <formula>ISNUMBER(SEARCH("Critical",R12))</formula>
    </cfRule>
    <cfRule type="expression" dxfId="2" priority="20">
      <formula>ISNUMBER(SEARCH("Action Needed",R12))</formula>
    </cfRule>
    <cfRule type="expression" dxfId="1" priority="21">
      <formula>ISNUMBER(SEARCH("Watch",R12))</formula>
    </cfRule>
    <cfRule type="expression" dxfId="0" priority="22">
      <formula>ISNUMBER(SEARCH("On Track",R12))</formula>
    </cfRule>
  </conditionalFormatting>
  <dataValidations count="3">
    <dataValidation type="list" sqref="M3:M4 M6 M8:M9 M11:M12" xr:uid="{00000000-0002-0000-0000-000002000000}">
      <formula1>"Available,Partial Available,In Training,Shadow Mode,On Leave,Allocated"</formula1>
    </dataValidation>
    <dataValidation type="list" sqref="N3:N4 N6 N8:N9 N11:N12" xr:uid="{00000000-0002-0000-0000-000001000000}">
      <formula1>"Learner Pool,Innovation Pool"</formula1>
    </dataValidation>
    <dataValidation type="list" sqref="M3:M4 M6 M8:M9 M11:M12" xr:uid="{00000000-0002-0000-0000-000000000000}">
      <formula1>"Available,In Training,Shadow Mode,On Leave,Allocated"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2026-06-22T06:42:50Z</dcterms:created>
  <dcterms:modified xsi:type="dcterms:W3CDTF">2026-09-17T12:45:50Z</dcterms:modified>
  <cp:category/>
  <cp:contentStatus/>
</cp:coreProperties>
</file>