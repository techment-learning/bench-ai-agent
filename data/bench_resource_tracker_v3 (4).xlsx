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F211E90F-B3D4-4E1A-9CE5-8ED913511275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</sheets>
  <definedNames>
    <definedName name="_xlnm._FilterDatabase" localSheetId="0" hidden="1">'Bench Master'!$A$1:$R$10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5" i="1"/>
  <c r="P25" i="1" s="1"/>
  <c r="O24" i="1"/>
  <c r="P24" i="1" s="1"/>
  <c r="K24" i="1"/>
  <c r="O23" i="1"/>
  <c r="P23" i="1" s="1"/>
  <c r="K23" i="1"/>
  <c r="O22" i="1"/>
  <c r="P22" i="1" s="1"/>
  <c r="K22" i="1"/>
  <c r="O21" i="1"/>
  <c r="P21" i="1" s="1"/>
  <c r="K21" i="1"/>
  <c r="O20" i="1"/>
  <c r="P20" i="1" s="1"/>
  <c r="K20" i="1"/>
  <c r="O19" i="1"/>
  <c r="P19" i="1" s="1"/>
  <c r="K19" i="1"/>
  <c r="P18" i="1"/>
  <c r="O18" i="1"/>
  <c r="K18" i="1"/>
  <c r="P17" i="1"/>
  <c r="O17" i="1"/>
  <c r="K17" i="1"/>
  <c r="P16" i="1"/>
  <c r="O16" i="1"/>
  <c r="K16" i="1"/>
  <c r="P15" i="1"/>
  <c r="O15" i="1"/>
  <c r="K15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O8" i="1"/>
  <c r="K8" i="1"/>
  <c r="P7" i="1"/>
  <c r="O7" i="1"/>
  <c r="K7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<sst xmlns="http://schemas.openxmlformats.org/spreadsheetml/2006/main" count="781" uniqueCount="328">
  <si>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</si>
  <si>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</si>
  <si>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</si>
  <si>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</si>
  <si>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</si>
  <si>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</si>
  <si>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</si>
  <si>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</si>
  <si>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</si>
  <si>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</si>
  <si>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</si>
  <si>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</si>
  <si>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</si>
  <si>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</si>
  <si>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</si>
  <si>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</si>
  <si>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</si>
  <si>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</si>
  <si>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</si>
  <si>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</si>
  <si>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</si>
  <si>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</si>
  <si>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</si>
  <si>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</si>
  <si>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</si>
  <si>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</si>
  <si>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</si>
  <si>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</si>
  <si>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</si>
  <si>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</si>
  <si>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</si>
  <si>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</si>
  <si>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</si>
  <si>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</si>
  <si>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</si>
  <si>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</si>
  <si>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</si>
  <si>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</si>
  <si>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</si>
  <si>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</si>
  <si>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</si>
  <si>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</si>
  <si>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</si>
  <si>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</si>
  <si>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</si>
  <si>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</si>
  <si>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</si>
  <si>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</si>
  <si>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</si>
  <si>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</si>
  <si>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</si>
  <si>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</si>
  <si>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</si>
  <si>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</si>
  <si>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</si>
  <si>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</si>
  <si>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</si>
  <si>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</si>
  <si>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</si>
  <si>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</si>
  <si>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</si>
  <si>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Vijay Karsh</t>
  </si>
  <si>
    <t>Frontend Developer</t>
  </si>
  <si>
    <t>JavaScript, C#, Python, Java, django and Blazor, webflow, wordpress</t>
  </si>
  <si>
    <t>React, PowerBI</t>
  </si>
  <si>
    <t>PowerBI</t>
  </si>
  <si>
    <t>BI</t>
  </si>
  <si>
    <t>EMP006</t>
  </si>
  <si>
    <t>Sristi Choubey</t>
  </si>
  <si>
    <t>Quality Analyst</t>
  </si>
  <si>
    <t>Quality</t>
  </si>
  <si>
    <t>Selenium</t>
  </si>
  <si>
    <t>Playwright</t>
  </si>
  <si>
    <t>Shadow Mode</t>
  </si>
  <si>
    <t>🔴 Action Needed (6M+)</t>
  </si>
  <si>
    <t>Automation</t>
  </si>
  <si>
    <t>Urgent — high demand skill</t>
  </si>
  <si>
    <t>EMP007</t>
  </si>
  <si>
    <t>Pooja Sahu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</si>
  <si>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</si>
  <si>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</si>
  <si>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On Leave</t>
  </si>
  <si>
    <t>Pune</t>
  </si>
  <si>
    <t>Maternity leave</t>
  </si>
  <si>
    <t>EMP008</t>
  </si>
  <si>
    <t>Pallavi Tiwari</t>
  </si>
  <si>
    <t>QA Touch, Test Rail, MS Excel, Postman, Jmeter,BlazeMeter, Wave Tool, Testim</t>
  </si>
  <si>
    <t>Nagpur</t>
  </si>
  <si>
    <t>EMP009</t>
  </si>
  <si>
    <t>Devansh Pratap Singh</t>
  </si>
  <si>
    <t>AI Engineer</t>
  </si>
  <si>
    <t>Python, AI</t>
  </si>
  <si>
    <t>Data Engineering</t>
  </si>
  <si>
    <t>Allocated</t>
  </si>
  <si>
    <t>—</t>
  </si>
  <si>
    <t>Omnia force replatform</t>
  </si>
  <si>
    <t>EMP010</t>
  </si>
  <si>
    <t>Divya kashyap</t>
  </si>
  <si>
    <t>MySQL server, SQL querying, ADF, Python, Django, PostgreSQL</t>
  </si>
  <si>
    <t>EMP011</t>
  </si>
  <si>
    <t>Muskan Goyal</t>
  </si>
  <si>
    <t>html, css, bootstrap,javascript</t>
  </si>
  <si>
    <t>PowerBI, DP 700</t>
  </si>
  <si>
    <t>EMP012</t>
  </si>
  <si>
    <t>Somya Ranjan</t>
  </si>
  <si>
    <t>Data Scientist</t>
  </si>
  <si>
    <t>⚠ Watch (3M+)</t>
  </si>
  <si>
    <t>EMP013</t>
  </si>
  <si>
    <t>Pooja Ruchandani</t>
  </si>
  <si>
    <t>Project Management</t>
  </si>
  <si>
    <t>EMP014</t>
  </si>
  <si>
    <t>Abha Tiwari</t>
  </si>
  <si>
    <t>Backend Engineer</t>
  </si>
  <si>
    <t>Java</t>
  </si>
  <si>
    <t>Python</t>
  </si>
  <si>
    <t>Java Developer</t>
  </si>
  <si>
    <t>EMP015</t>
  </si>
  <si>
    <t>Dev Narayan</t>
  </si>
  <si>
    <t>Java, Python</t>
  </si>
  <si>
    <t>SQL</t>
  </si>
  <si>
    <t>Ab-102</t>
  </si>
  <si>
    <t>Java/Python</t>
  </si>
  <si>
    <t>EMP016</t>
  </si>
  <si>
    <t>Yogesh Sahu</t>
  </si>
  <si>
    <t>TIL, Windsor+Nestive+Sythetiq, Time tracking tool</t>
  </si>
  <si>
    <t xml:space="preserve">React </t>
  </si>
  <si>
    <t>EMP017</t>
  </si>
  <si>
    <t>Katyayani Sahu</t>
  </si>
  <si>
    <t>Learner Pool</t>
  </si>
  <si>
    <t>LWD June  30</t>
  </si>
  <si>
    <t>EMP018</t>
  </si>
  <si>
    <t>Rajkumari Kashyap</t>
  </si>
  <si>
    <t>Intern</t>
  </si>
  <si>
    <t>Training</t>
  </si>
  <si>
    <t>In Training</t>
  </si>
  <si>
    <t>EMP019</t>
  </si>
  <si>
    <t>Radhika Boldiya</t>
  </si>
  <si>
    <t>Python, Devops</t>
  </si>
  <si>
    <t>✅ On Track</t>
  </si>
  <si>
    <t>EMP020</t>
  </si>
  <si>
    <t>Juhi Gupta</t>
  </si>
  <si>
    <t>EMP021</t>
  </si>
  <si>
    <t>Sana Fatima</t>
  </si>
  <si>
    <t>EMP022</t>
  </si>
  <si>
    <t>Harsh Barmeda</t>
  </si>
  <si>
    <t>EMP023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</si>
  <si>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</si>
  <si>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</si>
  <si>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</si>
  <si>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</si>
  <si>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</si>
  <si>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</si>
  <si>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</si>
  <si>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</si>
  <si>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</si>
  <si>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</si>
  <si>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</si>
  <si>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</si>
  <si>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</si>
  <si>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</si>
  <si>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JavaScript, C#, Python, Java, django and…</t>
  </si>
  <si>
    <t>Data engineering- ETL, data quality, sno…</t>
  </si>
  <si>
    <t>🔴 ACTION NEEDED — 180–364 Days  (6 resources)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</si>
  <si>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</si>
  <si>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</si>
  <si>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</si>
  <si>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</si>
  <si>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</si>
  <si>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</si>
  <si>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</si>
  <si>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✅ ON TRACK — Under 90 Days  (4 resources)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</si>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</sst>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4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167" fontId="0" fillId="0" borderId="3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38"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25"/>
  <sheetViews>
    <sheetView showGridLines="0" tabSelected="1" workbookViewId="0">
      <pane ySplit="2" topLeftCell="D17" activePane="bottomLeft" state="frozen"/>
      <selection pane="bottomLeft" activeCell="L7" sqref="L7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20" max="20" width="11.28515625" customWidth="1"/>
    <col min="22" max="22" width="19.42578125" customWidth="1"/>
  </cols>
  <sheetData>
    <row r="1" spans="1:23" ht="30" customHeight="1">
      <c r="A1" s="5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3" ht="21.95" customHeight="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  <c r="L2" s="27" t="s">
        <v>12</v>
      </c>
      <c r="M2" s="27" t="s">
        <v>13</v>
      </c>
      <c r="N2" s="27" t="s">
        <v>14</v>
      </c>
      <c r="O2" s="27" t="s">
        <v>15</v>
      </c>
      <c r="P2" s="27" t="s">
        <v>16</v>
      </c>
      <c r="Q2" s="28" t="s">
        <v>17</v>
      </c>
      <c r="R2" s="27" t="s">
        <v>18</v>
      </c>
      <c r="S2" s="27" t="s">
        <v>19</v>
      </c>
      <c r="T2" s="27" t="s">
        <v>20</v>
      </c>
      <c r="U2" s="27" t="s">
        <v>21</v>
      </c>
      <c r="V2" s="27" t="s">
        <v>22</v>
      </c>
      <c r="W2" s="27" t="s">
        <v>23</v>
      </c>
    </row>
    <row r="3" spans="1:23" ht="30.75" customHeight="1">
      <c r="A3" s="29" t="s">
        <v>24</v>
      </c>
      <c r="B3" s="29" t="s">
        <v>25</v>
      </c>
      <c r="C3" s="29" t="s">
        <v>26</v>
      </c>
      <c r="D3" s="29" t="s">
        <v>27</v>
      </c>
      <c r="E3" s="29">
        <v>10</v>
      </c>
      <c r="F3" s="29" t="s">
        <v>28</v>
      </c>
      <c r="G3" s="29" t="s">
        <v>29</v>
      </c>
      <c r="H3" s="29"/>
      <c r="I3" s="30">
        <v>44911</v>
      </c>
      <c r="J3" s="30"/>
      <c r="K3" s="31">
        <f ca="1">IF(I3&lt;&gt;"",TODAY()-I3,"")</f>
        <v>1292</v>
      </c>
      <c r="L3" s="29" t="s">
        <v>30</v>
      </c>
      <c r="M3" s="32" t="s">
        <v>31</v>
      </c>
      <c r="N3" s="33">
        <v>45889</v>
      </c>
      <c r="O3" s="33" t="str">
        <f>IF(M3="Learner Pool",IF(N3&lt;&gt;"",N3+60,""),"N/A")</f>
        <v>N/A</v>
      </c>
      <c r="P3" s="34" t="str">
        <f ca="1">IF(M3="Innovation Pool","No duration limit",IF(OR(N3="",O3=""),"—",IF(O3&lt;TODAY(),"⚠ Review Overdue","Review in "&amp;TEXT(O3-TODAY(),"0")&amp;" days")))</f>
        <v>No duration limit</v>
      </c>
      <c r="Q3" s="35" t="s">
        <v>32</v>
      </c>
      <c r="R3" s="29"/>
      <c r="S3" s="29"/>
      <c r="T3" s="29">
        <v>40</v>
      </c>
      <c r="U3" s="29" t="s">
        <v>33</v>
      </c>
      <c r="V3" s="29" t="s">
        <v>34</v>
      </c>
      <c r="W3" s="29" t="s">
        <v>35</v>
      </c>
    </row>
    <row r="4" spans="1:23" ht="53.25" customHeight="1">
      <c r="A4" s="36" t="s">
        <v>36</v>
      </c>
      <c r="B4" s="36" t="s">
        <v>37</v>
      </c>
      <c r="C4" s="36" t="s">
        <v>38</v>
      </c>
      <c r="D4" s="36" t="s">
        <v>39</v>
      </c>
      <c r="E4" s="36">
        <v>5</v>
      </c>
      <c r="F4" s="36" t="s">
        <v>40</v>
      </c>
      <c r="G4" s="36" t="s">
        <v>41</v>
      </c>
      <c r="H4" s="1" t="s">
        <v>42</v>
      </c>
      <c r="I4" s="37">
        <v>45236</v>
      </c>
      <c r="J4" s="37">
        <v>46259</v>
      </c>
      <c r="K4" s="31">
        <f ca="1">IF(I4&lt;&gt;"",TODAY()-I4,"")</f>
        <v>967</v>
      </c>
      <c r="L4" s="36" t="s">
        <v>43</v>
      </c>
      <c r="M4" s="32" t="s">
        <v>31</v>
      </c>
      <c r="N4" s="33">
        <v>45943</v>
      </c>
      <c r="O4" s="33" t="str">
        <f>IF(M4="Learner Pool",IF(N4&lt;&gt;"",N4+60,""),"N/A")</f>
        <v>N/A</v>
      </c>
      <c r="P4" s="34" t="str">
        <f ca="1">IF(M4="Innovation Pool","No duration limit",IF(OR(N4="",O4=""),"—",IF(O4&lt;TODAY(),"⚠ Review Overdue","Review in "&amp;TEXT(O4-TODAY(),"0")&amp;" days")))</f>
        <v>No duration limit</v>
      </c>
      <c r="Q4" s="35" t="s">
        <v>32</v>
      </c>
      <c r="R4" s="36" t="s">
        <v>44</v>
      </c>
      <c r="S4" s="37"/>
      <c r="T4" s="36">
        <v>65</v>
      </c>
      <c r="U4" s="36" t="s">
        <v>45</v>
      </c>
      <c r="V4" s="36" t="s">
        <v>34</v>
      </c>
      <c r="W4" s="36" t="s">
        <v>46</v>
      </c>
    </row>
    <row r="5" spans="1:23" ht="51" customHeight="1">
      <c r="A5" s="29" t="s">
        <v>47</v>
      </c>
      <c r="B5" s="29" t="s">
        <v>48</v>
      </c>
      <c r="C5" s="29" t="s">
        <v>49</v>
      </c>
      <c r="D5" s="29" t="s">
        <v>39</v>
      </c>
      <c r="E5" s="29">
        <v>3</v>
      </c>
      <c r="F5" s="29" t="s">
        <v>50</v>
      </c>
      <c r="G5" s="29"/>
      <c r="H5" s="2" t="s">
        <v>51</v>
      </c>
      <c r="I5" s="30">
        <v>45292</v>
      </c>
      <c r="J5" s="30">
        <v>46258</v>
      </c>
      <c r="K5" s="31">
        <f ca="1">IF(I5&lt;&gt;"",TODAY()-I5,"")</f>
        <v>911</v>
      </c>
      <c r="L5" s="36" t="s">
        <v>30</v>
      </c>
      <c r="M5" s="32" t="s">
        <v>31</v>
      </c>
      <c r="N5" s="33">
        <v>45889</v>
      </c>
      <c r="O5" s="33" t="str">
        <f>IF(M5="Learner Pool",IF(N5&lt;&gt;"",N5+60,""),"N/A")</f>
        <v>N/A</v>
      </c>
      <c r="P5" s="34" t="str">
        <f ca="1">IF(M5="Innovation Pool","No duration limit",IF(OR(N5="",O5=""),"—",IF(O5&lt;TODAY(),"⚠ Review Overdue","Review in "&amp;TEXT(O5-TODAY(),"0")&amp;" days")))</f>
        <v>No duration limit</v>
      </c>
      <c r="Q5" s="35" t="s">
        <v>32</v>
      </c>
      <c r="R5" s="29" t="s">
        <v>52</v>
      </c>
      <c r="S5" s="38">
        <v>46203</v>
      </c>
      <c r="T5" s="29">
        <v>50</v>
      </c>
      <c r="U5" s="29" t="s">
        <v>53</v>
      </c>
      <c r="V5" s="29" t="s">
        <v>34</v>
      </c>
      <c r="W5" s="36" t="s">
        <v>54</v>
      </c>
    </row>
    <row r="6" spans="1:23" ht="60" customHeight="1">
      <c r="A6" s="36" t="s">
        <v>55</v>
      </c>
      <c r="B6" s="36" t="s">
        <v>56</v>
      </c>
      <c r="C6" s="36" t="s">
        <v>57</v>
      </c>
      <c r="D6" s="36" t="s">
        <v>39</v>
      </c>
      <c r="E6" s="36">
        <v>5</v>
      </c>
      <c r="F6" s="36" t="s">
        <v>58</v>
      </c>
      <c r="G6" s="36"/>
      <c r="H6" s="36" t="s">
        <v>59</v>
      </c>
      <c r="I6" s="37">
        <v>45586</v>
      </c>
      <c r="J6" s="37"/>
      <c r="K6" s="31">
        <f ca="1">IF(I6&lt;&gt;"",TODAY()-I6,"")</f>
        <v>617</v>
      </c>
      <c r="L6" s="36" t="s">
        <v>43</v>
      </c>
      <c r="M6" s="32" t="s">
        <v>31</v>
      </c>
      <c r="N6" s="33">
        <v>45889</v>
      </c>
      <c r="O6" s="33" t="str">
        <f>IF(M6="Learner Pool",IF(N6&lt;&gt;"",N6+60,""),"N/A")</f>
        <v>N/A</v>
      </c>
      <c r="P6" s="34" t="str">
        <f ca="1">IF(M6="Innovation Pool","No duration limit",IF(OR(N6="",O6=""),"—",IF(O6&lt;TODAY(),"⚠ Review Overdue","Review in "&amp;TEXT(O6-TODAY(),"0")&amp;" days")))</f>
        <v>No duration limit</v>
      </c>
      <c r="Q6" s="35" t="s">
        <v>32</v>
      </c>
      <c r="R6" s="36"/>
      <c r="S6" s="36"/>
      <c r="T6" s="36">
        <v>90</v>
      </c>
      <c r="U6" s="36" t="s">
        <v>45</v>
      </c>
      <c r="V6" s="36" t="s">
        <v>34</v>
      </c>
      <c r="W6" s="29" t="s">
        <v>35</v>
      </c>
    </row>
    <row r="7" spans="1:23" ht="36.75" customHeight="1">
      <c r="A7" s="29" t="s">
        <v>60</v>
      </c>
      <c r="B7" s="29" t="s">
        <v>61</v>
      </c>
      <c r="C7" s="29" t="s">
        <v>62</v>
      </c>
      <c r="D7" s="29" t="s">
        <v>39</v>
      </c>
      <c r="E7" s="29">
        <v>3.5</v>
      </c>
      <c r="F7" s="29" t="s">
        <v>63</v>
      </c>
      <c r="G7" s="29" t="s">
        <v>64</v>
      </c>
      <c r="H7" s="29"/>
      <c r="I7" s="30">
        <v>45573</v>
      </c>
      <c r="J7" s="30">
        <v>46256</v>
      </c>
      <c r="K7" s="31">
        <f ca="1">IF(I7&lt;&gt;"",TODAY()-I7,"")</f>
        <v>630</v>
      </c>
      <c r="L7" s="29" t="s">
        <v>30</v>
      </c>
      <c r="M7" s="32" t="s">
        <v>31</v>
      </c>
      <c r="N7" s="33">
        <v>45889</v>
      </c>
      <c r="O7" s="33" t="str">
        <f>IF(M7="Learner Pool",IF(N7&lt;&gt;"",N7+60,""),"N/A")</f>
        <v>N/A</v>
      </c>
      <c r="P7" s="34" t="str">
        <f ca="1">IF(M7="Innovation Pool","No duration limit",IF(OR(N7="",O7=""),"—",IF(O7&lt;TODAY(),"⚠ Review Overdue","Review in "&amp;TEXT(O7-TODAY(),"0")&amp;" days")))</f>
        <v>No duration limit</v>
      </c>
      <c r="Q7" s="35" t="s">
        <v>32</v>
      </c>
      <c r="R7" s="29" t="s">
        <v>65</v>
      </c>
      <c r="S7" s="30">
        <v>46203</v>
      </c>
      <c r="T7" s="29">
        <v>80</v>
      </c>
      <c r="U7" s="29" t="s">
        <v>66</v>
      </c>
      <c r="V7" s="29" t="s">
        <v>34</v>
      </c>
      <c r="W7" s="29" t="s">
        <v>35</v>
      </c>
    </row>
    <row r="8" spans="1:23" ht="34.5" customHeight="1">
      <c r="A8" s="36" t="s">
        <v>67</v>
      </c>
      <c r="B8" s="36" t="s">
        <v>68</v>
      </c>
      <c r="C8" s="36" t="s">
        <v>69</v>
      </c>
      <c r="D8" s="36" t="s">
        <v>70</v>
      </c>
      <c r="E8" s="36">
        <v>5</v>
      </c>
      <c r="F8" s="36" t="s">
        <v>71</v>
      </c>
      <c r="G8" s="36" t="s">
        <v>72</v>
      </c>
      <c r="H8" s="36"/>
      <c r="I8" s="37">
        <v>45870</v>
      </c>
      <c r="J8" s="37">
        <v>46256</v>
      </c>
      <c r="K8" s="31">
        <f ca="1">IF(I8&lt;&gt;"",TODAY()-I8,"")</f>
        <v>333</v>
      </c>
      <c r="L8" s="36" t="s">
        <v>73</v>
      </c>
      <c r="M8" s="32" t="s">
        <v>31</v>
      </c>
      <c r="N8" s="33">
        <v>45889</v>
      </c>
      <c r="O8" s="33" t="str">
        <f>IF(M8="Learner Pool",IF(N8&lt;&gt;"",N8+60,""),"N/A")</f>
        <v>N/A</v>
      </c>
      <c r="P8" s="34" t="str">
        <f ca="1">IF(M8="Innovation Pool","No duration limit",IF(OR(N8="",O8=""),"—",IF(O8&lt;TODAY(),"⚠ Review Overdue","Review in "&amp;TEXT(O8-TODAY(),"0")&amp;" days")))</f>
        <v>No duration limit</v>
      </c>
      <c r="Q8" s="35" t="s">
        <v>74</v>
      </c>
      <c r="R8" s="36"/>
      <c r="S8" s="36"/>
      <c r="T8" s="36">
        <v>90</v>
      </c>
      <c r="U8" s="36" t="s">
        <v>75</v>
      </c>
      <c r="V8" s="36" t="s">
        <v>34</v>
      </c>
      <c r="W8" s="36" t="s">
        <v>76</v>
      </c>
    </row>
    <row r="9" spans="1:23" ht="54" customHeight="1">
      <c r="A9" s="29" t="s">
        <v>77</v>
      </c>
      <c r="B9" s="29" t="s">
        <v>78</v>
      </c>
      <c r="C9" s="29" t="s">
        <v>69</v>
      </c>
      <c r="D9" s="29" t="s">
        <v>70</v>
      </c>
      <c r="E9" s="29">
        <v>6</v>
      </c>
      <c r="F9" s="29" t="s">
        <v>79</v>
      </c>
      <c r="G9" s="29"/>
      <c r="H9" s="3" t="s">
        <v>80</v>
      </c>
      <c r="I9" s="30">
        <v>45870</v>
      </c>
      <c r="J9" s="30">
        <v>46256</v>
      </c>
      <c r="K9" s="31">
        <f ca="1">IF(I9&lt;&gt;"",TODAY()-I9,"")</f>
        <v>333</v>
      </c>
      <c r="L9" s="29" t="s">
        <v>81</v>
      </c>
      <c r="M9" s="32" t="s">
        <v>31</v>
      </c>
      <c r="N9" s="33">
        <v>45889</v>
      </c>
      <c r="O9" s="33" t="str">
        <f>IF(M9="Learner Pool",IF(N9&lt;&gt;"",N9+60,""),"N/A")</f>
        <v>N/A</v>
      </c>
      <c r="P9" s="34" t="str">
        <f ca="1">IF(M9="Innovation Pool","No duration limit",IF(OR(N9="",O9=""),"—",IF(O9&lt;TODAY(),"⚠ Review Overdue","Review in "&amp;TEXT(O9-TODAY(),"0")&amp;" days")))</f>
        <v>No duration limit</v>
      </c>
      <c r="Q9" s="35" t="s">
        <v>74</v>
      </c>
      <c r="R9" s="29"/>
      <c r="S9" s="30"/>
      <c r="T9" s="29"/>
      <c r="U9" s="29" t="s">
        <v>75</v>
      </c>
      <c r="V9" s="29" t="s">
        <v>82</v>
      </c>
      <c r="W9" s="29" t="s">
        <v>83</v>
      </c>
    </row>
    <row r="10" spans="1:23" ht="39.75" customHeight="1">
      <c r="A10" s="39" t="s">
        <v>84</v>
      </c>
      <c r="B10" s="39" t="s">
        <v>85</v>
      </c>
      <c r="C10" s="39" t="s">
        <v>69</v>
      </c>
      <c r="D10" s="39" t="s">
        <v>70</v>
      </c>
      <c r="E10" s="39">
        <v>7</v>
      </c>
      <c r="F10" s="5" t="s">
        <v>86</v>
      </c>
      <c r="G10" s="39"/>
      <c r="H10" s="39"/>
      <c r="I10" s="40">
        <v>45885</v>
      </c>
      <c r="J10" s="40">
        <v>46207</v>
      </c>
      <c r="K10" s="31">
        <f ca="1">IF(I10&lt;&gt;"",TODAY()-I10,"")</f>
        <v>318</v>
      </c>
      <c r="L10" s="39" t="s">
        <v>30</v>
      </c>
      <c r="M10" s="6" t="s">
        <v>31</v>
      </c>
      <c r="N10" s="7">
        <v>45943</v>
      </c>
      <c r="O10" s="33" t="str">
        <f>IF(M10="Learner Pool",IF(N10&lt;&gt;"",N10+60,""),"N/A")</f>
        <v>N/A</v>
      </c>
      <c r="P10" s="34" t="str">
        <f ca="1">IF(M10="Innovation Pool","No duration limit",IF(OR(N10="",O10=""),"—",IF(O10&lt;TODAY(),"⚠ Review Overdue","Review in "&amp;TEXT(O10-TODAY(),"0")&amp;" days")))</f>
        <v>No duration limit</v>
      </c>
      <c r="Q10" s="35" t="s">
        <v>74</v>
      </c>
      <c r="R10" s="39"/>
      <c r="S10" s="39"/>
      <c r="T10" s="39">
        <v>85</v>
      </c>
      <c r="U10" s="39" t="s">
        <v>75</v>
      </c>
      <c r="V10" s="39" t="s">
        <v>87</v>
      </c>
      <c r="W10" s="39" t="s">
        <v>35</v>
      </c>
    </row>
    <row r="11" spans="1:23" ht="30.75" customHeight="1">
      <c r="A11" s="39" t="s">
        <v>88</v>
      </c>
      <c r="B11" s="8" t="s">
        <v>89</v>
      </c>
      <c r="C11" s="4" t="s">
        <v>90</v>
      </c>
      <c r="D11" s="4" t="s">
        <v>39</v>
      </c>
      <c r="E11" s="4">
        <v>2</v>
      </c>
      <c r="F11" s="4" t="s">
        <v>91</v>
      </c>
      <c r="G11" s="4" t="s">
        <v>92</v>
      </c>
      <c r="H11" s="4"/>
      <c r="I11" s="40">
        <v>45915</v>
      </c>
      <c r="J11" s="40">
        <v>46174</v>
      </c>
      <c r="K11" s="31">
        <f ca="1">IF(I11&lt;&gt;"",TODAY()-I11,"")</f>
        <v>288</v>
      </c>
      <c r="L11" s="4" t="s">
        <v>93</v>
      </c>
      <c r="M11" s="4" t="s">
        <v>31</v>
      </c>
      <c r="N11" s="7">
        <v>45943</v>
      </c>
      <c r="O11" s="33" t="str">
        <f>IF(M11="Learner Pool",IF(N11&lt;&gt;"",N11+60,""),"N/A")</f>
        <v>N/A</v>
      </c>
      <c r="P11" s="34" t="str">
        <f ca="1">IF(M11="Innovation Pool","No duration limit",IF(OR(N11="",O11=""),"—",IF(O11&lt;TODAY(),"⚠ Review Overdue","Review in "&amp;TEXT(O11-TODAY(),"0")&amp;" days")))</f>
        <v>No duration limit</v>
      </c>
      <c r="Q11" s="35" t="s">
        <v>94</v>
      </c>
      <c r="R11" s="39"/>
      <c r="S11" s="39"/>
      <c r="T11" s="4">
        <v>100</v>
      </c>
      <c r="U11" s="10" t="s">
        <v>90</v>
      </c>
      <c r="V11" s="4" t="s">
        <v>34</v>
      </c>
      <c r="W11" s="9" t="s">
        <v>95</v>
      </c>
    </row>
    <row r="12" spans="1:23" ht="45.75" customHeight="1">
      <c r="A12" s="39" t="s">
        <v>96</v>
      </c>
      <c r="B12" s="4" t="s">
        <v>97</v>
      </c>
      <c r="C12" s="4" t="s">
        <v>38</v>
      </c>
      <c r="D12" s="4" t="s">
        <v>39</v>
      </c>
      <c r="E12" s="4">
        <v>5</v>
      </c>
      <c r="F12" s="2" t="s">
        <v>98</v>
      </c>
      <c r="G12" s="4"/>
      <c r="H12" s="4"/>
      <c r="I12" s="40">
        <v>45929</v>
      </c>
      <c r="J12" s="30">
        <v>46256</v>
      </c>
      <c r="K12" s="31">
        <f ca="1">IF(I12&lt;&gt;"",TODAY()-I12,"")</f>
        <v>274</v>
      </c>
      <c r="L12" s="4" t="s">
        <v>30</v>
      </c>
      <c r="M12" s="4" t="s">
        <v>31</v>
      </c>
      <c r="N12" s="7">
        <v>45978</v>
      </c>
      <c r="O12" s="33" t="str">
        <f>IF(M12="Learner Pool",IF(N12&lt;&gt;"",N12+60,""),"N/A")</f>
        <v>N/A</v>
      </c>
      <c r="P12" s="34" t="str">
        <f ca="1">IF(M12="Innovation Pool","No duration limit",IF(OR(N12="",O12=""),"—",IF(O12&lt;TODAY(),"⚠ Review Overdue","Review in "&amp;TEXT(O12-TODAY(),"0")&amp;" days")))</f>
        <v>No duration limit</v>
      </c>
      <c r="Q12" s="35" t="s">
        <v>74</v>
      </c>
      <c r="R12" s="39"/>
      <c r="S12" s="39"/>
      <c r="T12" s="4">
        <v>90</v>
      </c>
      <c r="U12" s="10" t="s">
        <v>45</v>
      </c>
      <c r="V12" s="4" t="s">
        <v>34</v>
      </c>
      <c r="W12" s="10" t="s">
        <v>35</v>
      </c>
    </row>
    <row r="13" spans="1:23" ht="30.75" customHeight="1">
      <c r="A13" s="39" t="s">
        <v>99</v>
      </c>
      <c r="B13" s="4" t="s">
        <v>100</v>
      </c>
      <c r="C13" s="4" t="s">
        <v>62</v>
      </c>
      <c r="D13" s="4" t="s">
        <v>39</v>
      </c>
      <c r="E13" s="4">
        <v>5</v>
      </c>
      <c r="F13" s="11" t="s">
        <v>101</v>
      </c>
      <c r="G13" s="4" t="s">
        <v>65</v>
      </c>
      <c r="H13" s="4" t="s">
        <v>102</v>
      </c>
      <c r="I13" s="40">
        <v>45930</v>
      </c>
      <c r="J13" s="30">
        <v>46256</v>
      </c>
      <c r="K13" s="31">
        <f ca="1">IF(I13&lt;&gt;"",TODAY()-I13,"")</f>
        <v>273</v>
      </c>
      <c r="L13" s="4" t="s">
        <v>30</v>
      </c>
      <c r="M13" s="4" t="s">
        <v>31</v>
      </c>
      <c r="N13" s="7">
        <v>45978</v>
      </c>
      <c r="O13" s="33" t="str">
        <f>IF(M13="Learner Pool",IF(N13&lt;&gt;"",N13+60,""),"N/A")</f>
        <v>N/A</v>
      </c>
      <c r="P13" s="34" t="str">
        <f ca="1">IF(M13="Innovation Pool","No duration limit",IF(OR(N13="",O13=""),"—",IF(O13&lt;TODAY(),"⚠ Review Overdue","Review in "&amp;TEXT(O13-TODAY(),"0")&amp;" days")))</f>
        <v>No duration limit</v>
      </c>
      <c r="Q13" s="35" t="s">
        <v>74</v>
      </c>
      <c r="R13" s="39"/>
      <c r="S13" s="39"/>
      <c r="T13" s="4">
        <v>90</v>
      </c>
      <c r="U13" s="4" t="s">
        <v>66</v>
      </c>
      <c r="V13" s="4" t="s">
        <v>34</v>
      </c>
      <c r="W13" s="10" t="s">
        <v>35</v>
      </c>
    </row>
    <row r="14" spans="1:23" ht="30.75" customHeight="1">
      <c r="A14" s="39" t="s">
        <v>103</v>
      </c>
      <c r="B14" s="4" t="s">
        <v>104</v>
      </c>
      <c r="C14" s="4" t="s">
        <v>90</v>
      </c>
      <c r="D14" s="4" t="s">
        <v>39</v>
      </c>
      <c r="E14" s="4">
        <v>1</v>
      </c>
      <c r="F14" s="4" t="s">
        <v>91</v>
      </c>
      <c r="G14" s="4" t="s">
        <v>92</v>
      </c>
      <c r="H14" s="4" t="s">
        <v>105</v>
      </c>
      <c r="I14" s="40">
        <v>46052</v>
      </c>
      <c r="J14" s="30">
        <v>46256</v>
      </c>
      <c r="K14" s="31">
        <f ca="1">IF(I14&lt;&gt;"",TODAY()-I14,"")</f>
        <v>151</v>
      </c>
      <c r="L14" s="4" t="s">
        <v>30</v>
      </c>
      <c r="M14" s="4" t="s">
        <v>31</v>
      </c>
      <c r="N14" s="40">
        <v>46052</v>
      </c>
      <c r="O14" s="33" t="str">
        <f>IF(M14="Learner Pool",IF(N14&lt;&gt;"",N14+60,""),"N/A")</f>
        <v>N/A</v>
      </c>
      <c r="P14" s="34" t="str">
        <f ca="1">IF(M14="Innovation Pool","No duration limit",IF(OR(N14="",O14=""),"—",IF(O14&lt;TODAY(),"⚠ Review Overdue","Review in "&amp;TEXT(O14-TODAY(),"0")&amp;" days")))</f>
        <v>No duration limit</v>
      </c>
      <c r="Q14" s="35" t="s">
        <v>106</v>
      </c>
      <c r="R14" s="39"/>
      <c r="S14" s="39"/>
      <c r="T14" s="4">
        <v>100</v>
      </c>
      <c r="U14" s="10" t="s">
        <v>90</v>
      </c>
      <c r="V14" s="4" t="s">
        <v>34</v>
      </c>
      <c r="W14" s="10" t="s">
        <v>35</v>
      </c>
    </row>
    <row r="15" spans="1:23" ht="30.75" customHeight="1">
      <c r="A15" s="39" t="s">
        <v>107</v>
      </c>
      <c r="B15" s="4" t="s">
        <v>108</v>
      </c>
      <c r="C15" s="4" t="s">
        <v>49</v>
      </c>
      <c r="D15" s="4" t="s">
        <v>39</v>
      </c>
      <c r="E15" s="4">
        <v>4</v>
      </c>
      <c r="F15" s="4" t="s">
        <v>109</v>
      </c>
      <c r="G15" s="4"/>
      <c r="H15" s="4"/>
      <c r="I15" s="40">
        <v>45935</v>
      </c>
      <c r="J15" s="30">
        <v>46256</v>
      </c>
      <c r="K15" s="31">
        <f ca="1">IF(I15&lt;&gt;"",TODAY()-I15,"")</f>
        <v>268</v>
      </c>
      <c r="L15" s="4" t="s">
        <v>30</v>
      </c>
      <c r="M15" s="4" t="s">
        <v>31</v>
      </c>
      <c r="N15" s="40">
        <v>45935</v>
      </c>
      <c r="O15" s="33" t="str">
        <f>IF(M15="Learner Pool",IF(N15&lt;&gt;"",N15+60,""),"N/A")</f>
        <v>N/A</v>
      </c>
      <c r="P15" s="34" t="str">
        <f ca="1">IF(M15="Innovation Pool","No duration limit",IF(OR(N15="",O15=""),"—",IF(O15&lt;TODAY(),"⚠ Review Overdue","Review in "&amp;TEXT(O15-TODAY(),"0")&amp;" days")))</f>
        <v>No duration limit</v>
      </c>
      <c r="Q15" s="35" t="s">
        <v>74</v>
      </c>
      <c r="R15" s="39"/>
      <c r="S15" s="39"/>
      <c r="T15" s="4"/>
      <c r="U15" s="4"/>
      <c r="V15" s="4"/>
      <c r="W15" s="10" t="s">
        <v>35</v>
      </c>
    </row>
    <row r="16" spans="1:23" ht="30.75" customHeight="1">
      <c r="A16" s="39" t="s">
        <v>110</v>
      </c>
      <c r="B16" s="13" t="s">
        <v>111</v>
      </c>
      <c r="C16" s="12" t="s">
        <v>112</v>
      </c>
      <c r="D16" s="12" t="s">
        <v>39</v>
      </c>
      <c r="E16" s="12">
        <v>5</v>
      </c>
      <c r="F16" s="12" t="s">
        <v>113</v>
      </c>
      <c r="G16" s="12" t="s">
        <v>114</v>
      </c>
      <c r="H16" s="12"/>
      <c r="I16" s="40">
        <v>46023</v>
      </c>
      <c r="J16" s="30">
        <v>46256</v>
      </c>
      <c r="K16" s="31">
        <f ca="1">IF(I16&lt;&gt;"",TODAY()-I16,"")</f>
        <v>180</v>
      </c>
      <c r="L16" s="12" t="s">
        <v>81</v>
      </c>
      <c r="M16" s="12" t="s">
        <v>31</v>
      </c>
      <c r="N16" s="40">
        <v>46023</v>
      </c>
      <c r="O16" s="33" t="str">
        <f>IF(M16="Learner Pool",IF(N16&lt;&gt;"",N16+60,""),"N/A")</f>
        <v>N/A</v>
      </c>
      <c r="P16" s="34" t="str">
        <f ca="1">IF(M16="Innovation Pool","No duration limit",IF(OR(N16="",O16=""),"—",IF(O16&lt;TODAY(),"⚠ Review Overdue","Review in "&amp;TEXT(O16-TODAY(),"0")&amp;" days")))</f>
        <v>No duration limit</v>
      </c>
      <c r="Q16" s="35" t="s">
        <v>106</v>
      </c>
      <c r="R16" s="39"/>
      <c r="S16" s="39"/>
      <c r="T16" s="12">
        <v>100</v>
      </c>
      <c r="U16" s="14" t="s">
        <v>115</v>
      </c>
      <c r="V16" s="12" t="s">
        <v>34</v>
      </c>
      <c r="W16" s="12" t="s">
        <v>83</v>
      </c>
    </row>
    <row r="17" spans="1:23" ht="30.75" customHeight="1">
      <c r="A17" s="39" t="s">
        <v>116</v>
      </c>
      <c r="B17" s="4" t="s">
        <v>117</v>
      </c>
      <c r="C17" s="4" t="s">
        <v>112</v>
      </c>
      <c r="D17" s="4" t="s">
        <v>39</v>
      </c>
      <c r="E17" s="4">
        <v>11</v>
      </c>
      <c r="F17" s="4" t="s">
        <v>118</v>
      </c>
      <c r="G17" s="4" t="s">
        <v>119</v>
      </c>
      <c r="H17" s="4" t="s">
        <v>120</v>
      </c>
      <c r="I17" s="40">
        <v>46082</v>
      </c>
      <c r="J17" s="30">
        <v>46256</v>
      </c>
      <c r="K17" s="31">
        <f ca="1">IF(I17&lt;&gt;"",TODAY()-I17,"")</f>
        <v>121</v>
      </c>
      <c r="L17" s="4" t="s">
        <v>30</v>
      </c>
      <c r="M17" s="4" t="s">
        <v>31</v>
      </c>
      <c r="N17" s="40">
        <v>46028</v>
      </c>
      <c r="O17" s="33" t="str">
        <f>IF(M17="Learner Pool",IF(N17&lt;&gt;"",N17+60,""),"N/A")</f>
        <v>N/A</v>
      </c>
      <c r="P17" s="34" t="str">
        <f ca="1">IF(M17="Innovation Pool","No duration limit",IF(OR(N17="",O17=""),"—",IF(O17&lt;TODAY(),"⚠ Review Overdue","Review in "&amp;TEXT(O17-TODAY(),"0")&amp;" days")))</f>
        <v>No duration limit</v>
      </c>
      <c r="Q17" s="35" t="s">
        <v>106</v>
      </c>
      <c r="R17" s="39"/>
      <c r="S17" s="39"/>
      <c r="T17" s="4">
        <v>100</v>
      </c>
      <c r="U17" s="10" t="s">
        <v>121</v>
      </c>
      <c r="V17" s="4" t="s">
        <v>34</v>
      </c>
      <c r="W17" s="10" t="s">
        <v>35</v>
      </c>
    </row>
    <row r="18" spans="1:23" ht="30.75" customHeight="1">
      <c r="A18" s="39" t="s">
        <v>122</v>
      </c>
      <c r="B18" s="4" t="s">
        <v>123</v>
      </c>
      <c r="C18" s="4" t="s">
        <v>62</v>
      </c>
      <c r="D18" s="4" t="s">
        <v>39</v>
      </c>
      <c r="E18" s="4">
        <v>7</v>
      </c>
      <c r="F18" s="10" t="s">
        <v>124</v>
      </c>
      <c r="G18" s="4"/>
      <c r="H18" s="4"/>
      <c r="I18" s="40">
        <v>46082</v>
      </c>
      <c r="J18" s="30">
        <v>46256</v>
      </c>
      <c r="K18" s="31">
        <f ca="1">IF(I18&lt;&gt;"",TODAY()-I18,"")</f>
        <v>121</v>
      </c>
      <c r="L18" s="4" t="s">
        <v>30</v>
      </c>
      <c r="M18" s="4" t="s">
        <v>31</v>
      </c>
      <c r="N18" s="40">
        <v>46028</v>
      </c>
      <c r="O18" s="33" t="str">
        <f>IF(M18="Learner Pool",IF(N18&lt;&gt;"",N18+60,""),"N/A")</f>
        <v>N/A</v>
      </c>
      <c r="P18" s="34" t="str">
        <f ca="1">IF(M18="Innovation Pool","No duration limit",IF(OR(N18="",O18=""),"—",IF(O18&lt;TODAY(),"⚠ Review Overdue","Review in "&amp;TEXT(O18-TODAY(),"0")&amp;" days")))</f>
        <v>No duration limit</v>
      </c>
      <c r="Q18" s="35" t="s">
        <v>106</v>
      </c>
      <c r="R18" s="39"/>
      <c r="S18" s="39"/>
      <c r="T18" s="4">
        <v>100</v>
      </c>
      <c r="U18" s="4" t="s">
        <v>125</v>
      </c>
      <c r="V18" s="4" t="s">
        <v>34</v>
      </c>
      <c r="W18" s="4" t="s">
        <v>35</v>
      </c>
    </row>
    <row r="19" spans="1:23" ht="14.25" customHeight="1">
      <c r="A19" s="39" t="s">
        <v>126</v>
      </c>
      <c r="B19" s="4" t="s">
        <v>127</v>
      </c>
      <c r="C19" s="4" t="s">
        <v>62</v>
      </c>
      <c r="D19" s="4" t="s">
        <v>39</v>
      </c>
      <c r="E19" s="4">
        <v>5</v>
      </c>
      <c r="F19" s="4" t="s">
        <v>101</v>
      </c>
      <c r="G19" s="4"/>
      <c r="H19" s="4"/>
      <c r="I19" s="40">
        <v>46082</v>
      </c>
      <c r="J19" s="4"/>
      <c r="K19" s="31">
        <f ca="1">IF(I19&lt;&gt;"",TODAY()-I19,"")</f>
        <v>121</v>
      </c>
      <c r="L19" s="4" t="s">
        <v>73</v>
      </c>
      <c r="M19" s="4" t="s">
        <v>128</v>
      </c>
      <c r="N19" s="40">
        <v>46026</v>
      </c>
      <c r="O19" s="33">
        <f>IF(M19="Learner Pool",IF(N19&lt;&gt;"",N19+60,""),"N/A")</f>
        <v>46086</v>
      </c>
      <c r="P19" s="34" t="str">
        <f ca="1">IF(M19="Innovation Pool","No duration limit",IF(OR(N19="",O19=""),"—",IF(O19&lt;TODAY(),"⚠ Review Overdue","Review in "&amp;TEXT(O19-TODAY(),"0")&amp;" days")))</f>
        <v>⚠ Review Overdue</v>
      </c>
      <c r="Q19" s="35" t="s">
        <v>106</v>
      </c>
      <c r="R19" s="4"/>
      <c r="S19" s="4"/>
      <c r="T19" s="4"/>
      <c r="U19" s="4"/>
      <c r="V19" s="4"/>
      <c r="W19" s="4" t="s">
        <v>129</v>
      </c>
    </row>
    <row r="20" spans="1:23" ht="14.25" customHeight="1">
      <c r="A20" s="39" t="s">
        <v>130</v>
      </c>
      <c r="B20" s="4" t="s">
        <v>131</v>
      </c>
      <c r="C20" s="4" t="s">
        <v>132</v>
      </c>
      <c r="D20" s="4" t="s">
        <v>133</v>
      </c>
      <c r="E20" s="4">
        <v>0</v>
      </c>
      <c r="F20" s="4" t="s">
        <v>91</v>
      </c>
      <c r="G20" s="4"/>
      <c r="H20" s="4"/>
      <c r="I20" s="40">
        <v>46097</v>
      </c>
      <c r="J20" s="4"/>
      <c r="K20" s="31">
        <f ca="1">IF(I20&lt;&gt;"",TODAY()-I20,"")</f>
        <v>106</v>
      </c>
      <c r="L20" s="4" t="s">
        <v>134</v>
      </c>
      <c r="M20" s="4" t="s">
        <v>128</v>
      </c>
      <c r="N20" s="17">
        <v>46097</v>
      </c>
      <c r="O20" s="33">
        <f>IF(M20="Learner Pool",IF(N20&lt;&gt;"",N20+60,""),"N/A")</f>
        <v>46157</v>
      </c>
      <c r="P20" s="34" t="str">
        <f ca="1">IF(M20="Innovation Pool","No duration limit",IF(OR(N20="",O20=""),"—",IF(O20&lt;TODAY(),"⚠ Review Overdue","Review in "&amp;TEXT(O20-TODAY(),"0")&amp;" days")))</f>
        <v>⚠ Review Overdue</v>
      </c>
      <c r="Q20" s="35" t="s">
        <v>106</v>
      </c>
      <c r="R20" s="4"/>
      <c r="S20" s="4"/>
      <c r="T20" s="4"/>
      <c r="U20" s="4"/>
      <c r="V20" s="4"/>
      <c r="W20" s="4"/>
    </row>
    <row r="21" spans="1:23" ht="14.25" customHeight="1">
      <c r="A21" s="39" t="s">
        <v>135</v>
      </c>
      <c r="B21" s="4" t="s">
        <v>136</v>
      </c>
      <c r="C21" s="4" t="s">
        <v>132</v>
      </c>
      <c r="D21" s="4" t="s">
        <v>133</v>
      </c>
      <c r="E21" s="4">
        <v>0</v>
      </c>
      <c r="F21" s="4" t="s">
        <v>137</v>
      </c>
      <c r="G21" s="4"/>
      <c r="H21" s="4"/>
      <c r="I21" s="40">
        <v>46164</v>
      </c>
      <c r="J21" s="4"/>
      <c r="K21" s="31">
        <f ca="1">IF(I21&lt;&gt;"",TODAY()-I21,"")</f>
        <v>39</v>
      </c>
      <c r="L21" s="4" t="s">
        <v>134</v>
      </c>
      <c r="M21" s="4" t="s">
        <v>128</v>
      </c>
      <c r="N21" s="17">
        <v>46164</v>
      </c>
      <c r="O21" s="33">
        <f>IF(M21="Learner Pool",IF(N21&lt;&gt;"",N21+60,""),"N/A")</f>
        <v>46224</v>
      </c>
      <c r="P21" s="34" t="str">
        <f ca="1">IF(M21="Innovation Pool","No duration limit",IF(OR(N21="",O21=""),"—",IF(O21&lt;TODAY(),"⚠ Review Overdue","Review in "&amp;TEXT(O21-TODAY(),"0")&amp;" days")))</f>
        <v>Review in 21 days</v>
      </c>
      <c r="Q21" s="35" t="s">
        <v>138</v>
      </c>
      <c r="R21" s="4"/>
      <c r="S21" s="4"/>
      <c r="T21" s="4"/>
      <c r="U21" s="4"/>
      <c r="V21" s="4"/>
      <c r="W21" s="4"/>
    </row>
    <row r="22" spans="1:23" ht="14.25" customHeight="1">
      <c r="A22" s="39" t="s">
        <v>139</v>
      </c>
      <c r="B22" s="4" t="s">
        <v>140</v>
      </c>
      <c r="C22" s="4" t="s">
        <v>132</v>
      </c>
      <c r="D22" s="4" t="s">
        <v>133</v>
      </c>
      <c r="E22" s="4">
        <v>0</v>
      </c>
      <c r="F22" s="4" t="s">
        <v>114</v>
      </c>
      <c r="G22" s="4"/>
      <c r="H22" s="4"/>
      <c r="I22" s="40">
        <v>46157</v>
      </c>
      <c r="J22" s="4"/>
      <c r="K22" s="41">
        <f ca="1">IF(I22&lt;&gt;"",TODAY()-I22,"")</f>
        <v>46</v>
      </c>
      <c r="L22" s="4" t="s">
        <v>134</v>
      </c>
      <c r="M22" s="4" t="s">
        <v>128</v>
      </c>
      <c r="N22" s="17">
        <v>46157</v>
      </c>
      <c r="O22" s="33">
        <f>IF(M22="Learner Pool",IF(N22&lt;&gt;"",N22+60,""),"N/A")</f>
        <v>46217</v>
      </c>
      <c r="P22" s="34" t="str">
        <f ca="1">IF(M22="Innovation Pool","No duration limit",IF(OR(N22="",O22=""),"—",IF(O22&lt;TODAY(),"⚠ Review Overdue","Review in "&amp;TEXT(O22-TODAY(),"0")&amp;" days")))</f>
        <v>Review in 14 days</v>
      </c>
      <c r="Q22" s="35" t="s">
        <v>138</v>
      </c>
      <c r="R22" s="4"/>
      <c r="S22" s="4"/>
      <c r="T22" s="4"/>
      <c r="U22" s="4"/>
      <c r="V22" s="4"/>
      <c r="W22" s="4"/>
    </row>
    <row r="23" spans="1:23" ht="14.25" customHeight="1">
      <c r="A23" s="39" t="s">
        <v>141</v>
      </c>
      <c r="B23" s="4" t="s">
        <v>142</v>
      </c>
      <c r="C23" s="4" t="s">
        <v>132</v>
      </c>
      <c r="D23" s="4" t="s">
        <v>133</v>
      </c>
      <c r="E23" s="4">
        <v>0</v>
      </c>
      <c r="F23" s="4" t="s">
        <v>114</v>
      </c>
      <c r="G23" s="4"/>
      <c r="H23" s="4"/>
      <c r="I23" s="40">
        <v>46195</v>
      </c>
      <c r="J23" s="4"/>
      <c r="K23" s="41">
        <f ca="1">IF(I23&lt;&gt;"",TODAY()-I23,"")</f>
        <v>8</v>
      </c>
      <c r="L23" s="4" t="s">
        <v>134</v>
      </c>
      <c r="M23" s="4" t="s">
        <v>128</v>
      </c>
      <c r="N23" s="17">
        <v>46195</v>
      </c>
      <c r="O23" s="33">
        <f>IF(M23="Learner Pool",IF(N23&lt;&gt;"",N23+60,""),"N/A")</f>
        <v>46255</v>
      </c>
      <c r="P23" s="34" t="str">
        <f ca="1">IF(M23="Innovation Pool","No duration limit",IF(OR(N23="",O23=""),"—",IF(O23&lt;TODAY(),"⚠ Review Overdue","Review in "&amp;TEXT(O23-TODAY(),"0")&amp;" days")))</f>
        <v>Review in 52 days</v>
      </c>
      <c r="Q23" s="35" t="s">
        <v>138</v>
      </c>
      <c r="R23" s="4"/>
      <c r="S23" s="4"/>
      <c r="T23" s="4"/>
      <c r="U23" s="4"/>
      <c r="V23" s="4"/>
      <c r="W23" s="4"/>
    </row>
    <row r="24" spans="1:23" ht="14.25" customHeight="1">
      <c r="A24" s="39" t="s">
        <v>143</v>
      </c>
      <c r="B24" s="12" t="s">
        <v>144</v>
      </c>
      <c r="C24" s="12" t="s">
        <v>132</v>
      </c>
      <c r="D24" s="12" t="s">
        <v>133</v>
      </c>
      <c r="E24" s="12">
        <v>0</v>
      </c>
      <c r="F24" s="12" t="s">
        <v>114</v>
      </c>
      <c r="G24" s="12"/>
      <c r="H24" s="12"/>
      <c r="I24" s="40">
        <v>46195</v>
      </c>
      <c r="J24" s="12"/>
      <c r="K24" s="41">
        <f ca="1">IF(I24&lt;&gt;"",TODAY()-I24,"")</f>
        <v>8</v>
      </c>
      <c r="L24" s="12" t="s">
        <v>134</v>
      </c>
      <c r="M24" s="12" t="s">
        <v>128</v>
      </c>
      <c r="N24" s="18">
        <v>46195</v>
      </c>
      <c r="O24" s="33">
        <f>IF(M24="Learner Pool",IF(N24&lt;&gt;"",N24+60,""),"N/A")</f>
        <v>46255</v>
      </c>
      <c r="P24" s="34" t="str">
        <f ca="1">IF(M24="Innovation Pool","No duration limit",IF(OR(N24="",O24=""),"—",IF(O24&lt;TODAY(),"⚠ Review Overdue","Review in "&amp;TEXT(O24-TODAY(),"0")&amp;" days")))</f>
        <v>Review in 52 days</v>
      </c>
      <c r="Q24" s="35" t="s">
        <v>138</v>
      </c>
      <c r="R24" s="12"/>
      <c r="S24" s="12"/>
      <c r="T24" s="12"/>
      <c r="U24" s="12"/>
      <c r="V24" s="12"/>
      <c r="W24" s="12"/>
    </row>
    <row r="25" spans="1:23">
      <c r="A25" s="42" t="s">
        <v>145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 t="s">
        <v>128</v>
      </c>
      <c r="N25" s="4"/>
      <c r="O25" s="33" t="str">
        <f>IF(M25="Learner Pool",IF(N25&lt;&gt;"",N25+60,""),"N/A")</f>
        <v/>
      </c>
      <c r="P25" s="34" t="str">
        <f ca="1">IF(M25="Innovation Pool","No duration limit",IF(OR(N25="",O25=""),"—",IF(O25&lt;TODAY(),"⚠ Review Overdue","Review in "&amp;TEXT(O25-TODAY(),"0")&amp;" days")))</f>
        <v>—</v>
      </c>
      <c r="Q25" s="34" t="s">
        <v>94</v>
      </c>
      <c r="R25" s="4"/>
      <c r="S25" s="4"/>
      <c r="T25" s="4"/>
      <c r="U25" s="4"/>
      <c r="V25" s="4"/>
      <c r="W25" s="4"/>
    </row>
  </sheetData>
  <autoFilter ref="A1:R10" xr:uid="{00000000-0009-0000-0000-000000000000}"/>
  <mergeCells count="1">
    <mergeCell ref="A1:R1"/>
  </mergeCells>
  <conditionalFormatting sqref="K3:K100">
    <cfRule type="cellIs" dxfId="37" priority="1" operator="greaterThan">
      <formula>15</formula>
    </cfRule>
    <cfRule type="cellIs" dxfId="36" priority="2" operator="between">
      <formula>8</formula>
      <formula>15</formula>
    </cfRule>
    <cfRule type="cellIs" dxfId="35" priority="20" operator="greaterThan">
      <formula>15</formula>
    </cfRule>
    <cfRule type="cellIs" dxfId="34" priority="21" operator="between">
      <formula>8</formula>
      <formula>15</formula>
    </cfRule>
    <cfRule type="cellIs" dxfId="33" priority="27" operator="greaterThanOrEqual">
      <formula>365</formula>
    </cfRule>
    <cfRule type="cellIs" dxfId="32" priority="28" operator="between">
      <formula>180</formula>
      <formula>364</formula>
    </cfRule>
    <cfRule type="cellIs" dxfId="31" priority="29" operator="between">
      <formula>90</formula>
      <formula>179</formula>
    </cfRule>
    <cfRule type="cellIs" dxfId="30" priority="30" operator="between">
      <formula>1</formula>
      <formula>89</formula>
    </cfRule>
  </conditionalFormatting>
  <conditionalFormatting sqref="L3:L100">
    <cfRule type="cellIs" dxfId="29" priority="3" operator="equal">
      <formula>"Available"</formula>
    </cfRule>
    <cfRule type="cellIs" dxfId="28" priority="4" operator="equal">
      <formula>"In Training"</formula>
    </cfRule>
    <cfRule type="cellIs" dxfId="27" priority="5" operator="equal">
      <formula>"Shadow Mode"</formula>
    </cfRule>
    <cfRule type="cellIs" dxfId="26" priority="14" operator="equal">
      <formula>"Available"</formula>
    </cfRule>
    <cfRule type="cellIs" dxfId="25" priority="15" operator="equal">
      <formula>"In Training"</formula>
    </cfRule>
    <cfRule type="cellIs" dxfId="24" priority="16" operator="equal">
      <formula>"Shadow Mode"</formula>
    </cfRule>
    <cfRule type="cellIs" dxfId="23" priority="17" operator="equal">
      <formula>"On Leave"</formula>
    </cfRule>
    <cfRule type="cellIs" dxfId="22" priority="18" operator="equal">
      <formula>"Partial Available"</formula>
    </cfRule>
    <cfRule type="cellIs" dxfId="21" priority="19" operator="equal">
      <formula>"Allocated"</formula>
    </cfRule>
  </conditionalFormatting>
  <conditionalFormatting sqref="M3:M200">
    <cfRule type="cellIs" dxfId="20" priority="6" operator="equal">
      <formula>"Learner Pool"</formula>
    </cfRule>
    <cfRule type="cellIs" dxfId="19" priority="7" operator="equal">
      <formula>"Innovation Pool"</formula>
    </cfRule>
  </conditionalFormatting>
  <conditionalFormatting sqref="P3:P200">
    <cfRule type="expression" dxfId="18" priority="8">
      <formula>ISNUMBER(SEARCH("Overdue",P3))</formula>
    </cfRule>
    <cfRule type="cellIs" dxfId="17" priority="9" operator="equal">
      <formula>"No duration limit"</formula>
    </cfRule>
  </conditionalFormatting>
  <conditionalFormatting sqref="M3:M100">
    <cfRule type="cellIs" dxfId="16" priority="10" operator="equal">
      <formula>"Learner Pool"</formula>
    </cfRule>
    <cfRule type="cellIs" dxfId="15" priority="11" operator="equal">
      <formula>"Innovation Pool"</formula>
    </cfRule>
  </conditionalFormatting>
  <conditionalFormatting sqref="P3:P100">
    <cfRule type="expression" dxfId="14" priority="12">
      <formula>ISNUMBER(SEARCH("Overdue",P3))</formula>
    </cfRule>
    <cfRule type="cellIs" dxfId="13" priority="13" operator="equal">
      <formula>"No duration limit"</formula>
    </cfRule>
  </conditionalFormatting>
  <conditionalFormatting sqref="S3:S100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:Q100">
    <cfRule type="expression" dxfId="12" priority="23">
      <formula>ISNUMBER(SEARCH("Critical",Q3))</formula>
    </cfRule>
    <cfRule type="expression" dxfId="11" priority="24">
      <formula>ISNUMBER(SEARCH("Action Needed",Q3))</formula>
    </cfRule>
    <cfRule type="expression" dxfId="10" priority="25">
      <formula>ISNUMBER(SEARCH("Watch",Q3))</formula>
    </cfRule>
    <cfRule type="expression" dxfId="9" priority="26">
      <formula>ISNUMBER(SEARCH("On Track",Q3))</formula>
    </cfRule>
  </conditionalFormatting>
  <dataValidations count="3">
    <dataValidation type="list" sqref="L3 L7:L200" xr:uid="{00000000-0002-0000-0000-000000000000}">
      <formula1>"Available,In Training,Shadow Mode,On Leave,Allocated"</formula1>
    </dataValidation>
    <dataValidation type="list" sqref="M3:M200" xr:uid="{00000000-0002-0000-0000-000001000000}">
      <formula1>"Learner Pool,Innovation Pool"</formula1>
    </dataValidation>
    <dataValidation type="list" sqref="L3:L200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56" t="s">
        <v>146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21.95" customHeight="1">
      <c r="A2" s="58" t="s">
        <v>147</v>
      </c>
      <c r="B2" s="87"/>
      <c r="C2" s="59" t="s">
        <v>148</v>
      </c>
      <c r="D2" s="87"/>
      <c r="E2" s="61" t="s">
        <v>149</v>
      </c>
      <c r="F2" s="87"/>
      <c r="G2" s="60" t="s">
        <v>150</v>
      </c>
      <c r="H2" s="87"/>
      <c r="I2" s="62" t="s">
        <v>151</v>
      </c>
      <c r="J2" s="88"/>
      <c r="K2" s="88"/>
      <c r="L2" s="87"/>
    </row>
    <row r="4" spans="1:12" ht="26.1" customHeight="1">
      <c r="A4" s="65" t="s">
        <v>152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7"/>
    </row>
    <row r="5" spans="1:12" ht="18" customHeight="1">
      <c r="A5" s="19" t="s">
        <v>1</v>
      </c>
      <c r="B5" s="19" t="s">
        <v>153</v>
      </c>
      <c r="C5" s="19" t="s">
        <v>3</v>
      </c>
      <c r="D5" s="19" t="s">
        <v>154</v>
      </c>
      <c r="E5" s="19" t="s">
        <v>11</v>
      </c>
      <c r="F5" s="19" t="s">
        <v>12</v>
      </c>
      <c r="G5" s="19" t="s">
        <v>13</v>
      </c>
      <c r="H5" s="19" t="s">
        <v>155</v>
      </c>
      <c r="I5" s="19" t="s">
        <v>6</v>
      </c>
      <c r="J5" s="19" t="s">
        <v>21</v>
      </c>
      <c r="K5" s="19" t="s">
        <v>22</v>
      </c>
      <c r="L5" s="19" t="s">
        <v>156</v>
      </c>
    </row>
    <row r="6" spans="1:12" ht="18" customHeight="1">
      <c r="A6" s="20" t="s">
        <v>24</v>
      </c>
      <c r="B6" s="21" t="s">
        <v>25</v>
      </c>
      <c r="C6" s="21" t="s">
        <v>26</v>
      </c>
      <c r="D6" s="21" t="s">
        <v>27</v>
      </c>
      <c r="E6" s="20">
        <v>1286</v>
      </c>
      <c r="F6" s="20" t="s">
        <v>30</v>
      </c>
      <c r="G6" s="20" t="s">
        <v>31</v>
      </c>
      <c r="H6" s="20"/>
      <c r="I6" s="21" t="s">
        <v>28</v>
      </c>
      <c r="J6" s="21">
        <v>40</v>
      </c>
      <c r="K6" s="21" t="s">
        <v>33</v>
      </c>
      <c r="L6" s="21" t="s">
        <v>157</v>
      </c>
    </row>
    <row r="7" spans="1:12" ht="18" customHeight="1">
      <c r="A7" s="22" t="s">
        <v>36</v>
      </c>
      <c r="B7" s="23" t="s">
        <v>37</v>
      </c>
      <c r="C7" s="23" t="s">
        <v>38</v>
      </c>
      <c r="D7" s="23" t="s">
        <v>39</v>
      </c>
      <c r="E7" s="22">
        <v>961</v>
      </c>
      <c r="F7" s="22" t="s">
        <v>43</v>
      </c>
      <c r="G7" s="22" t="s">
        <v>31</v>
      </c>
      <c r="H7" s="22"/>
      <c r="I7" s="23" t="s">
        <v>158</v>
      </c>
      <c r="J7" s="23">
        <v>65</v>
      </c>
      <c r="K7" s="23" t="s">
        <v>45</v>
      </c>
      <c r="L7" s="23" t="s">
        <v>157</v>
      </c>
    </row>
    <row r="8" spans="1:12" ht="18" customHeight="1">
      <c r="A8" s="20" t="s">
        <v>47</v>
      </c>
      <c r="B8" s="21" t="s">
        <v>48</v>
      </c>
      <c r="C8" s="21" t="s">
        <v>49</v>
      </c>
      <c r="D8" s="21" t="s">
        <v>39</v>
      </c>
      <c r="E8" s="20">
        <v>905</v>
      </c>
      <c r="F8" s="20" t="s">
        <v>30</v>
      </c>
      <c r="G8" s="20" t="s">
        <v>31</v>
      </c>
      <c r="H8" s="20"/>
      <c r="I8" s="21" t="s">
        <v>159</v>
      </c>
      <c r="J8" s="21">
        <v>50</v>
      </c>
      <c r="K8" s="21" t="s">
        <v>53</v>
      </c>
      <c r="L8" s="21" t="s">
        <v>157</v>
      </c>
    </row>
    <row r="9" spans="1:12" ht="18" customHeight="1">
      <c r="A9" s="22" t="s">
        <v>60</v>
      </c>
      <c r="B9" s="23" t="s">
        <v>61</v>
      </c>
      <c r="C9" s="23" t="s">
        <v>62</v>
      </c>
      <c r="D9" s="23" t="s">
        <v>39</v>
      </c>
      <c r="E9" s="22">
        <v>624</v>
      </c>
      <c r="F9" s="22" t="s">
        <v>134</v>
      </c>
      <c r="G9" s="22" t="s">
        <v>31</v>
      </c>
      <c r="H9" s="22"/>
      <c r="I9" s="23" t="s">
        <v>160</v>
      </c>
      <c r="J9" s="23">
        <v>80</v>
      </c>
      <c r="K9" s="23" t="s">
        <v>66</v>
      </c>
      <c r="L9" s="23" t="s">
        <v>157</v>
      </c>
    </row>
    <row r="10" spans="1:12" ht="18" customHeight="1">
      <c r="A10" s="20" t="s">
        <v>55</v>
      </c>
      <c r="B10" s="21" t="s">
        <v>56</v>
      </c>
      <c r="C10" s="21" t="s">
        <v>57</v>
      </c>
      <c r="D10" s="21" t="s">
        <v>39</v>
      </c>
      <c r="E10" s="20">
        <v>611</v>
      </c>
      <c r="F10" s="20" t="s">
        <v>43</v>
      </c>
      <c r="G10" s="20" t="s">
        <v>31</v>
      </c>
      <c r="H10" s="20"/>
      <c r="I10" s="21" t="s">
        <v>161</v>
      </c>
      <c r="J10" s="21">
        <v>90</v>
      </c>
      <c r="K10" s="21" t="s">
        <v>45</v>
      </c>
      <c r="L10" s="21" t="s">
        <v>157</v>
      </c>
    </row>
    <row r="12" spans="1:12" ht="26.1" customHeight="1">
      <c r="A12" s="64" t="s">
        <v>162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7"/>
    </row>
    <row r="13" spans="1:12" ht="18" customHeight="1">
      <c r="A13" s="24" t="s">
        <v>1</v>
      </c>
      <c r="B13" s="24" t="s">
        <v>153</v>
      </c>
      <c r="C13" s="24" t="s">
        <v>3</v>
      </c>
      <c r="D13" s="24" t="s">
        <v>154</v>
      </c>
      <c r="E13" s="24" t="s">
        <v>11</v>
      </c>
      <c r="F13" s="24" t="s">
        <v>12</v>
      </c>
      <c r="G13" s="24" t="s">
        <v>13</v>
      </c>
      <c r="H13" s="24" t="s">
        <v>155</v>
      </c>
      <c r="I13" s="24" t="s">
        <v>6</v>
      </c>
      <c r="J13" s="24" t="s">
        <v>21</v>
      </c>
      <c r="K13" s="24" t="s">
        <v>22</v>
      </c>
      <c r="L13" s="24" t="s">
        <v>156</v>
      </c>
    </row>
    <row r="14" spans="1:12" ht="18" customHeight="1">
      <c r="A14" s="20" t="s">
        <v>67</v>
      </c>
      <c r="B14" s="21" t="s">
        <v>68</v>
      </c>
      <c r="C14" s="21" t="s">
        <v>69</v>
      </c>
      <c r="D14" s="21" t="s">
        <v>70</v>
      </c>
      <c r="E14" s="20">
        <v>327</v>
      </c>
      <c r="F14" s="20" t="s">
        <v>73</v>
      </c>
      <c r="G14" s="20" t="s">
        <v>31</v>
      </c>
      <c r="H14" s="20"/>
      <c r="I14" s="21" t="s">
        <v>71</v>
      </c>
      <c r="J14" s="21">
        <v>90</v>
      </c>
      <c r="K14" s="21" t="s">
        <v>75</v>
      </c>
      <c r="L14" s="21" t="s">
        <v>163</v>
      </c>
    </row>
    <row r="15" spans="1:12" ht="18" customHeight="1">
      <c r="A15" s="22" t="s">
        <v>77</v>
      </c>
      <c r="B15" s="23" t="s">
        <v>78</v>
      </c>
      <c r="C15" s="23" t="s">
        <v>69</v>
      </c>
      <c r="D15" s="23" t="s">
        <v>70</v>
      </c>
      <c r="E15" s="22">
        <v>327</v>
      </c>
      <c r="F15" s="22" t="s">
        <v>81</v>
      </c>
      <c r="G15" s="22" t="s">
        <v>31</v>
      </c>
      <c r="H15" s="22"/>
      <c r="I15" s="23" t="s">
        <v>164</v>
      </c>
      <c r="J15" s="23"/>
      <c r="K15" s="23" t="s">
        <v>75</v>
      </c>
      <c r="L15" s="23" t="s">
        <v>163</v>
      </c>
    </row>
    <row r="16" spans="1:12" ht="18" customHeight="1">
      <c r="A16" s="20" t="s">
        <v>84</v>
      </c>
      <c r="B16" s="21" t="s">
        <v>85</v>
      </c>
      <c r="C16" s="21" t="s">
        <v>69</v>
      </c>
      <c r="D16" s="21" t="s">
        <v>70</v>
      </c>
      <c r="E16" s="20">
        <v>312</v>
      </c>
      <c r="F16" s="20" t="s">
        <v>30</v>
      </c>
      <c r="G16" s="20" t="s">
        <v>31</v>
      </c>
      <c r="H16" s="20"/>
      <c r="I16" s="21" t="s">
        <v>165</v>
      </c>
      <c r="J16" s="21">
        <v>85</v>
      </c>
      <c r="K16" s="21" t="s">
        <v>75</v>
      </c>
      <c r="L16" s="21" t="s">
        <v>163</v>
      </c>
    </row>
    <row r="17" spans="1:12" ht="18" customHeight="1">
      <c r="A17" s="22" t="s">
        <v>96</v>
      </c>
      <c r="B17" s="23" t="s">
        <v>97</v>
      </c>
      <c r="C17" s="23" t="s">
        <v>38</v>
      </c>
      <c r="D17" s="23" t="s">
        <v>39</v>
      </c>
      <c r="E17" s="22">
        <v>268</v>
      </c>
      <c r="F17" s="22" t="s">
        <v>30</v>
      </c>
      <c r="G17" s="22" t="s">
        <v>31</v>
      </c>
      <c r="H17" s="22"/>
      <c r="I17" s="23" t="s">
        <v>166</v>
      </c>
      <c r="J17" s="23">
        <v>90</v>
      </c>
      <c r="K17" s="23" t="s">
        <v>45</v>
      </c>
      <c r="L17" s="23" t="s">
        <v>163</v>
      </c>
    </row>
    <row r="18" spans="1:12" ht="18" customHeight="1">
      <c r="A18" s="20" t="s">
        <v>99</v>
      </c>
      <c r="B18" s="21" t="s">
        <v>100</v>
      </c>
      <c r="C18" s="21" t="s">
        <v>62</v>
      </c>
      <c r="D18" s="21" t="s">
        <v>39</v>
      </c>
      <c r="E18" s="20">
        <v>267</v>
      </c>
      <c r="F18" s="20" t="s">
        <v>30</v>
      </c>
      <c r="G18" s="20" t="s">
        <v>31</v>
      </c>
      <c r="H18" s="20"/>
      <c r="I18" s="21" t="s">
        <v>101</v>
      </c>
      <c r="J18" s="21">
        <v>90</v>
      </c>
      <c r="K18" s="21" t="s">
        <v>66</v>
      </c>
      <c r="L18" s="21" t="s">
        <v>163</v>
      </c>
    </row>
    <row r="19" spans="1:12" ht="18" customHeight="1">
      <c r="A19" s="22" t="s">
        <v>107</v>
      </c>
      <c r="B19" s="23" t="s">
        <v>108</v>
      </c>
      <c r="C19" s="23" t="s">
        <v>49</v>
      </c>
      <c r="D19" s="23" t="s">
        <v>39</v>
      </c>
      <c r="E19" s="22">
        <v>262</v>
      </c>
      <c r="F19" s="22" t="s">
        <v>30</v>
      </c>
      <c r="G19" s="22" t="s">
        <v>31</v>
      </c>
      <c r="H19" s="22"/>
      <c r="I19" s="23" t="s">
        <v>109</v>
      </c>
      <c r="J19" s="23"/>
      <c r="K19" s="23"/>
      <c r="L19" s="23" t="s">
        <v>163</v>
      </c>
    </row>
    <row r="21" spans="1:12" ht="26.1" customHeight="1">
      <c r="A21" s="63" t="s">
        <v>167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</row>
    <row r="22" spans="1:12" ht="18" customHeight="1">
      <c r="A22" s="25" t="s">
        <v>1</v>
      </c>
      <c r="B22" s="25" t="s">
        <v>153</v>
      </c>
      <c r="C22" s="25" t="s">
        <v>3</v>
      </c>
      <c r="D22" s="25" t="s">
        <v>154</v>
      </c>
      <c r="E22" s="25" t="s">
        <v>11</v>
      </c>
      <c r="F22" s="25" t="s">
        <v>12</v>
      </c>
      <c r="G22" s="25" t="s">
        <v>13</v>
      </c>
      <c r="H22" s="25" t="s">
        <v>155</v>
      </c>
      <c r="I22" s="25" t="s">
        <v>6</v>
      </c>
      <c r="J22" s="25" t="s">
        <v>21</v>
      </c>
      <c r="K22" s="25" t="s">
        <v>22</v>
      </c>
      <c r="L22" s="25" t="s">
        <v>156</v>
      </c>
    </row>
    <row r="23" spans="1:12" ht="18" customHeight="1">
      <c r="A23" s="20" t="s">
        <v>110</v>
      </c>
      <c r="B23" s="21" t="s">
        <v>111</v>
      </c>
      <c r="C23" s="21" t="s">
        <v>112</v>
      </c>
      <c r="D23" s="21" t="s">
        <v>39</v>
      </c>
      <c r="E23" s="20">
        <v>174</v>
      </c>
      <c r="F23" s="20" t="s">
        <v>81</v>
      </c>
      <c r="G23" s="20" t="s">
        <v>31</v>
      </c>
      <c r="H23" s="20"/>
      <c r="I23" s="21" t="s">
        <v>113</v>
      </c>
      <c r="J23" s="21">
        <v>100</v>
      </c>
      <c r="K23" s="21" t="s">
        <v>115</v>
      </c>
      <c r="L23" s="21" t="s">
        <v>168</v>
      </c>
    </row>
    <row r="24" spans="1:12" ht="18" customHeight="1">
      <c r="A24" s="22" t="s">
        <v>103</v>
      </c>
      <c r="B24" s="23" t="s">
        <v>104</v>
      </c>
      <c r="C24" s="23" t="s">
        <v>90</v>
      </c>
      <c r="D24" s="23" t="s">
        <v>39</v>
      </c>
      <c r="E24" s="22">
        <v>145</v>
      </c>
      <c r="F24" s="22" t="s">
        <v>30</v>
      </c>
      <c r="G24" s="22" t="s">
        <v>31</v>
      </c>
      <c r="H24" s="22"/>
      <c r="I24" s="23" t="s">
        <v>91</v>
      </c>
      <c r="J24" s="23">
        <v>100</v>
      </c>
      <c r="K24" s="23" t="s">
        <v>90</v>
      </c>
      <c r="L24" s="23" t="s">
        <v>168</v>
      </c>
    </row>
    <row r="25" spans="1:12" ht="18" customHeight="1">
      <c r="A25" s="20" t="s">
        <v>116</v>
      </c>
      <c r="B25" s="21" t="s">
        <v>117</v>
      </c>
      <c r="C25" s="21" t="s">
        <v>112</v>
      </c>
      <c r="D25" s="21" t="s">
        <v>39</v>
      </c>
      <c r="E25" s="20">
        <v>115</v>
      </c>
      <c r="F25" s="20" t="s">
        <v>30</v>
      </c>
      <c r="G25" s="20" t="s">
        <v>31</v>
      </c>
      <c r="H25" s="20"/>
      <c r="I25" s="21" t="s">
        <v>118</v>
      </c>
      <c r="J25" s="21">
        <v>100</v>
      </c>
      <c r="K25" s="21" t="s">
        <v>121</v>
      </c>
      <c r="L25" s="21" t="s">
        <v>168</v>
      </c>
    </row>
    <row r="26" spans="1:12" ht="18" customHeight="1">
      <c r="A26" s="22" t="s">
        <v>122</v>
      </c>
      <c r="B26" s="23" t="s">
        <v>123</v>
      </c>
      <c r="C26" s="23" t="s">
        <v>62</v>
      </c>
      <c r="D26" s="23" t="s">
        <v>39</v>
      </c>
      <c r="E26" s="22">
        <v>115</v>
      </c>
      <c r="F26" s="22" t="s">
        <v>30</v>
      </c>
      <c r="G26" s="22" t="s">
        <v>31</v>
      </c>
      <c r="H26" s="22"/>
      <c r="I26" s="23" t="s">
        <v>169</v>
      </c>
      <c r="J26" s="23">
        <v>100</v>
      </c>
      <c r="K26" s="23" t="s">
        <v>125</v>
      </c>
      <c r="L26" s="23" t="s">
        <v>168</v>
      </c>
    </row>
    <row r="27" spans="1:12" ht="18" customHeight="1">
      <c r="A27" s="20" t="s">
        <v>126</v>
      </c>
      <c r="B27" s="21" t="s">
        <v>127</v>
      </c>
      <c r="C27" s="21" t="s">
        <v>62</v>
      </c>
      <c r="D27" s="21" t="s">
        <v>39</v>
      </c>
      <c r="E27" s="20">
        <v>115</v>
      </c>
      <c r="F27" s="20" t="s">
        <v>73</v>
      </c>
      <c r="G27" s="20" t="s">
        <v>128</v>
      </c>
      <c r="H27" s="20"/>
      <c r="I27" s="21" t="s">
        <v>101</v>
      </c>
      <c r="J27" s="21"/>
      <c r="K27" s="21"/>
      <c r="L27" s="21" t="s">
        <v>168</v>
      </c>
    </row>
    <row r="28" spans="1:12" ht="18" customHeight="1">
      <c r="A28" s="22" t="s">
        <v>130</v>
      </c>
      <c r="B28" s="23" t="s">
        <v>131</v>
      </c>
      <c r="C28" s="23" t="s">
        <v>132</v>
      </c>
      <c r="D28" s="23" t="s">
        <v>133</v>
      </c>
      <c r="E28" s="22">
        <v>100</v>
      </c>
      <c r="F28" s="22" t="s">
        <v>134</v>
      </c>
      <c r="G28" s="22" t="s">
        <v>128</v>
      </c>
      <c r="H28" s="22"/>
      <c r="I28" s="23" t="s">
        <v>91</v>
      </c>
      <c r="J28" s="23"/>
      <c r="K28" s="23"/>
      <c r="L28" s="23" t="s">
        <v>168</v>
      </c>
    </row>
    <row r="30" spans="1:12" ht="26.1" customHeight="1">
      <c r="A30" s="57" t="s">
        <v>170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</row>
    <row r="31" spans="1:12" ht="18" customHeight="1">
      <c r="A31" s="26" t="s">
        <v>1</v>
      </c>
      <c r="B31" s="26" t="s">
        <v>153</v>
      </c>
      <c r="C31" s="26" t="s">
        <v>3</v>
      </c>
      <c r="D31" s="26" t="s">
        <v>154</v>
      </c>
      <c r="E31" s="26" t="s">
        <v>11</v>
      </c>
      <c r="F31" s="26" t="s">
        <v>12</v>
      </c>
      <c r="G31" s="26" t="s">
        <v>13</v>
      </c>
      <c r="H31" s="26" t="s">
        <v>155</v>
      </c>
      <c r="I31" s="26" t="s">
        <v>6</v>
      </c>
      <c r="J31" s="26" t="s">
        <v>21</v>
      </c>
      <c r="K31" s="26" t="s">
        <v>22</v>
      </c>
      <c r="L31" s="26" t="s">
        <v>156</v>
      </c>
    </row>
    <row r="32" spans="1:12" ht="18" customHeight="1">
      <c r="A32" s="20" t="s">
        <v>139</v>
      </c>
      <c r="B32" s="21" t="s">
        <v>140</v>
      </c>
      <c r="C32" s="21" t="s">
        <v>132</v>
      </c>
      <c r="D32" s="21" t="s">
        <v>133</v>
      </c>
      <c r="E32" s="20">
        <v>40</v>
      </c>
      <c r="F32" s="20" t="s">
        <v>134</v>
      </c>
      <c r="G32" s="20" t="s">
        <v>128</v>
      </c>
      <c r="H32" s="20"/>
      <c r="I32" s="21" t="s">
        <v>114</v>
      </c>
      <c r="J32" s="21"/>
      <c r="K32" s="21"/>
      <c r="L32" s="21" t="s">
        <v>171</v>
      </c>
    </row>
    <row r="33" spans="1:12" ht="18" customHeight="1">
      <c r="A33" s="22" t="s">
        <v>135</v>
      </c>
      <c r="B33" s="23" t="s">
        <v>136</v>
      </c>
      <c r="C33" s="23" t="s">
        <v>132</v>
      </c>
      <c r="D33" s="23" t="s">
        <v>133</v>
      </c>
      <c r="E33" s="22">
        <v>33</v>
      </c>
      <c r="F33" s="22" t="s">
        <v>134</v>
      </c>
      <c r="G33" s="22" t="s">
        <v>128</v>
      </c>
      <c r="H33" s="22"/>
      <c r="I33" s="23" t="s">
        <v>137</v>
      </c>
      <c r="J33" s="23"/>
      <c r="K33" s="23"/>
      <c r="L33" s="23" t="s">
        <v>171</v>
      </c>
    </row>
    <row r="34" spans="1:12" ht="18" customHeight="1">
      <c r="A34" s="20" t="s">
        <v>141</v>
      </c>
      <c r="B34" s="21" t="s">
        <v>142</v>
      </c>
      <c r="C34" s="21" t="s">
        <v>132</v>
      </c>
      <c r="D34" s="21" t="s">
        <v>133</v>
      </c>
      <c r="E34" s="20">
        <v>2</v>
      </c>
      <c r="F34" s="20" t="s">
        <v>134</v>
      </c>
      <c r="G34" s="20" t="s">
        <v>128</v>
      </c>
      <c r="H34" s="20"/>
      <c r="I34" s="21" t="s">
        <v>114</v>
      </c>
      <c r="J34" s="21"/>
      <c r="K34" s="21"/>
      <c r="L34" s="21" t="s">
        <v>171</v>
      </c>
    </row>
    <row r="35" spans="1:12" ht="18" customHeight="1">
      <c r="A35" s="22" t="s">
        <v>143</v>
      </c>
      <c r="B35" s="23" t="s">
        <v>144</v>
      </c>
      <c r="C35" s="23" t="s">
        <v>132</v>
      </c>
      <c r="D35" s="23" t="s">
        <v>133</v>
      </c>
      <c r="E35" s="22">
        <v>2</v>
      </c>
      <c r="F35" s="22" t="s">
        <v>134</v>
      </c>
      <c r="G35" s="22" t="s">
        <v>128</v>
      </c>
      <c r="H35" s="22"/>
      <c r="I35" s="23" t="s">
        <v>114</v>
      </c>
      <c r="J35" s="23"/>
      <c r="K35" s="23"/>
      <c r="L35" s="23" t="s">
        <v>171</v>
      </c>
    </row>
  </sheetData>
  <mergeCells count="10">
    <mergeCell ref="A1:L1"/>
    <mergeCell ref="I2:L2"/>
    <mergeCell ref="A21:L21"/>
    <mergeCell ref="A12:L12"/>
    <mergeCell ref="A4:L4"/>
    <mergeCell ref="A30:L30"/>
    <mergeCell ref="A2:B2"/>
    <mergeCell ref="C2:D2"/>
    <mergeCell ref="G2:H2"/>
    <mergeCell ref="E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55" t="s">
        <v>172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21.95" customHeight="1">
      <c r="A2" s="43" t="s">
        <v>1</v>
      </c>
      <c r="B2" s="43" t="s">
        <v>153</v>
      </c>
      <c r="C2" s="43" t="s">
        <v>14</v>
      </c>
      <c r="D2" s="43" t="s">
        <v>15</v>
      </c>
      <c r="E2" s="43" t="s">
        <v>173</v>
      </c>
      <c r="F2" s="43" t="s">
        <v>174</v>
      </c>
      <c r="G2" s="43" t="s">
        <v>175</v>
      </c>
      <c r="H2" s="43" t="s">
        <v>176</v>
      </c>
      <c r="I2" s="43" t="s">
        <v>177</v>
      </c>
      <c r="J2" s="43" t="s">
        <v>178</v>
      </c>
      <c r="K2" s="43" t="s">
        <v>179</v>
      </c>
      <c r="L2" s="43" t="s">
        <v>23</v>
      </c>
    </row>
    <row r="3" spans="1:12" ht="20.100000000000001" customHeight="1">
      <c r="A3" s="29" t="s">
        <v>126</v>
      </c>
      <c r="B3" s="29" t="s">
        <v>180</v>
      </c>
      <c r="C3" s="30">
        <v>46113</v>
      </c>
      <c r="D3" s="30">
        <v>46172</v>
      </c>
      <c r="E3" s="29" t="s">
        <v>181</v>
      </c>
      <c r="F3" s="44">
        <v>60</v>
      </c>
      <c r="G3" s="29" t="s">
        <v>182</v>
      </c>
      <c r="H3" s="29" t="s">
        <v>183</v>
      </c>
      <c r="I3" s="29" t="s">
        <v>184</v>
      </c>
      <c r="J3" s="38">
        <v>46203</v>
      </c>
      <c r="K3" s="29"/>
      <c r="L3" s="29" t="s">
        <v>185</v>
      </c>
    </row>
  </sheetData>
  <autoFilter ref="A2:L2" xr:uid="{00000000-0009-0000-0000-000002000000}"/>
  <mergeCells count="1">
    <mergeCell ref="A1:L1"/>
  </mergeCells>
  <conditionalFormatting sqref="I3:I46">
    <cfRule type="cellIs" dxfId="8" priority="1" operator="equal">
      <formula>"Promoted"</formula>
    </cfRule>
    <cfRule type="cellIs" dxfId="7" priority="2" operator="equal">
      <formula>"Exit"</formula>
    </cfRule>
    <cfRule type="cellIs" dxfId="6" priority="3" operator="equal">
      <formula>"Pending"</formula>
    </cfRule>
  </conditionalFormatting>
  <conditionalFormatting sqref="I3:I50">
    <cfRule type="cellIs" dxfId="5" priority="4" operator="equal">
      <formula>"Release"</formula>
    </cfRule>
    <cfRule type="cellIs" dxfId="4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55" t="s">
        <v>186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21.95" customHeight="1">
      <c r="A2" s="45" t="s">
        <v>1</v>
      </c>
      <c r="B2" s="45" t="s">
        <v>153</v>
      </c>
      <c r="C2" s="45" t="s">
        <v>187</v>
      </c>
      <c r="D2" s="45" t="s">
        <v>188</v>
      </c>
      <c r="E2" s="45" t="s">
        <v>113</v>
      </c>
      <c r="F2" s="45" t="s">
        <v>114</v>
      </c>
      <c r="G2" s="45" t="s">
        <v>119</v>
      </c>
      <c r="H2" s="45" t="s">
        <v>189</v>
      </c>
      <c r="I2" s="45" t="s">
        <v>190</v>
      </c>
      <c r="J2" s="45" t="s">
        <v>191</v>
      </c>
      <c r="K2" s="45" t="s">
        <v>192</v>
      </c>
      <c r="L2" s="45" t="s">
        <v>193</v>
      </c>
      <c r="M2" s="45" t="s">
        <v>194</v>
      </c>
      <c r="N2" s="45" t="s">
        <v>195</v>
      </c>
      <c r="O2" s="45" t="s">
        <v>196</v>
      </c>
      <c r="P2" s="45" t="s">
        <v>197</v>
      </c>
    </row>
    <row r="3" spans="1:16" ht="20.100000000000001" customHeight="1">
      <c r="A3" s="29" t="s">
        <v>24</v>
      </c>
      <c r="B3" s="29" t="s">
        <v>25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46">
        <f>IFERROR(AVERAGEIF(C3:O3,"&gt;0"),0)</f>
        <v>0</v>
      </c>
    </row>
    <row r="4" spans="1:16" ht="20.100000000000001" customHeight="1">
      <c r="A4" s="36" t="s">
        <v>36</v>
      </c>
      <c r="B4" s="36" t="s">
        <v>37</v>
      </c>
      <c r="C4" s="36">
        <v>0</v>
      </c>
      <c r="D4" s="36">
        <v>0</v>
      </c>
      <c r="E4" s="36">
        <v>0</v>
      </c>
      <c r="F4" s="36">
        <v>2</v>
      </c>
      <c r="G4" s="36">
        <v>2</v>
      </c>
      <c r="H4" s="36">
        <v>2</v>
      </c>
      <c r="I4" s="36">
        <v>2</v>
      </c>
      <c r="J4" s="36">
        <v>2</v>
      </c>
      <c r="K4" s="36">
        <v>0</v>
      </c>
      <c r="L4" s="36">
        <v>0</v>
      </c>
      <c r="M4" s="36">
        <v>2</v>
      </c>
      <c r="N4" s="36">
        <v>2</v>
      </c>
      <c r="O4" s="36">
        <v>2</v>
      </c>
      <c r="P4" s="47">
        <f>IFERROR(AVERAGEIF(C4:O4,"&gt;0"),0)</f>
        <v>2</v>
      </c>
    </row>
    <row r="5" spans="1:16" ht="20.100000000000001" customHeight="1">
      <c r="A5" s="29" t="s">
        <v>47</v>
      </c>
      <c r="B5" s="29" t="s">
        <v>48</v>
      </c>
      <c r="C5" s="29">
        <v>0</v>
      </c>
      <c r="D5" s="29">
        <v>0</v>
      </c>
      <c r="E5" s="29">
        <v>0</v>
      </c>
      <c r="F5" s="29">
        <v>2</v>
      </c>
      <c r="G5" s="29">
        <v>2</v>
      </c>
      <c r="H5" s="29">
        <v>0</v>
      </c>
      <c r="I5" s="29">
        <v>2</v>
      </c>
      <c r="J5" s="29">
        <v>0</v>
      </c>
      <c r="K5" s="29">
        <v>0</v>
      </c>
      <c r="L5" s="29">
        <v>0</v>
      </c>
      <c r="M5" s="29">
        <v>2</v>
      </c>
      <c r="N5" s="29">
        <v>1</v>
      </c>
      <c r="O5" s="29">
        <v>0</v>
      </c>
      <c r="P5" s="46">
        <f>IFERROR(AVERAGEIF(C5:O5,"&gt;0"),0)</f>
        <v>1.8</v>
      </c>
    </row>
    <row r="6" spans="1:16" ht="20.100000000000001" customHeight="1">
      <c r="A6" s="36" t="s">
        <v>55</v>
      </c>
      <c r="B6" s="36" t="s">
        <v>56</v>
      </c>
      <c r="C6" s="36">
        <v>0</v>
      </c>
      <c r="D6" s="36">
        <v>0</v>
      </c>
      <c r="E6" s="36">
        <v>0</v>
      </c>
      <c r="F6" s="36">
        <v>2</v>
      </c>
      <c r="G6" s="36">
        <v>2</v>
      </c>
      <c r="H6" s="36">
        <v>2</v>
      </c>
      <c r="I6" s="36">
        <v>2</v>
      </c>
      <c r="J6" s="36">
        <v>2</v>
      </c>
      <c r="K6" s="36">
        <v>0</v>
      </c>
      <c r="L6" s="36">
        <v>0</v>
      </c>
      <c r="M6" s="36">
        <v>2</v>
      </c>
      <c r="N6" s="36">
        <v>2</v>
      </c>
      <c r="O6" s="36">
        <v>2</v>
      </c>
      <c r="P6" s="47">
        <f>IFERROR(AVERAGEIF(C6:O6,"&gt;0"),0)</f>
        <v>2</v>
      </c>
    </row>
    <row r="7" spans="1:16" ht="20.100000000000001" customHeight="1">
      <c r="A7" s="29" t="s">
        <v>60</v>
      </c>
      <c r="B7" s="29" t="s">
        <v>61</v>
      </c>
      <c r="C7" s="29">
        <v>1</v>
      </c>
      <c r="D7" s="29">
        <v>1</v>
      </c>
      <c r="E7" s="29">
        <v>0</v>
      </c>
      <c r="F7" s="29">
        <v>3</v>
      </c>
      <c r="G7" s="29">
        <v>2</v>
      </c>
      <c r="H7" s="29">
        <v>1</v>
      </c>
      <c r="I7" s="29">
        <v>1</v>
      </c>
      <c r="J7" s="29">
        <v>1</v>
      </c>
      <c r="K7" s="29">
        <v>0</v>
      </c>
      <c r="L7" s="29">
        <v>0</v>
      </c>
      <c r="M7" s="29">
        <v>0</v>
      </c>
      <c r="N7" s="29">
        <v>0</v>
      </c>
      <c r="O7" s="29">
        <v>2</v>
      </c>
      <c r="P7" s="46">
        <f>IFERROR(AVERAGEIF(C7:O7,"&gt;0"),0)</f>
        <v>1.5</v>
      </c>
    </row>
    <row r="8" spans="1:16" ht="20.100000000000001" customHeight="1">
      <c r="A8" s="36" t="s">
        <v>67</v>
      </c>
      <c r="B8" s="36" t="s">
        <v>68</v>
      </c>
      <c r="C8" s="36">
        <v>0</v>
      </c>
      <c r="D8" s="36">
        <v>0</v>
      </c>
      <c r="E8" s="36">
        <v>0</v>
      </c>
      <c r="F8" s="36">
        <v>1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2</v>
      </c>
      <c r="M8" s="36">
        <v>0</v>
      </c>
      <c r="N8" s="36">
        <v>2</v>
      </c>
      <c r="O8" s="36">
        <v>0</v>
      </c>
      <c r="P8" s="47">
        <f>IFERROR(AVERAGEIF(C8:O8,"&gt;0"),0)</f>
        <v>1.6666666666666667</v>
      </c>
    </row>
    <row r="9" spans="1:16" ht="20.100000000000001" customHeight="1">
      <c r="A9" s="29" t="s">
        <v>77</v>
      </c>
      <c r="B9" s="29" t="s">
        <v>78</v>
      </c>
      <c r="C9" s="29">
        <v>0</v>
      </c>
      <c r="D9" s="29">
        <v>0</v>
      </c>
      <c r="E9" s="29">
        <v>0</v>
      </c>
      <c r="F9" s="29">
        <v>1</v>
      </c>
      <c r="G9" s="29">
        <v>0</v>
      </c>
      <c r="H9" s="29">
        <v>0</v>
      </c>
      <c r="I9" s="29">
        <v>1</v>
      </c>
      <c r="J9" s="29">
        <v>1</v>
      </c>
      <c r="K9" s="29">
        <v>0</v>
      </c>
      <c r="L9" s="29">
        <v>2</v>
      </c>
      <c r="M9" s="29">
        <v>0</v>
      </c>
      <c r="N9" s="29">
        <v>1</v>
      </c>
      <c r="O9" s="29">
        <v>1</v>
      </c>
      <c r="P9" s="46">
        <f>IFERROR(AVERAGEIF(C9:O9,"&gt;0"),0)</f>
        <v>1.1666666666666667</v>
      </c>
    </row>
    <row r="10" spans="1:16" ht="20.100000000000001" customHeight="1">
      <c r="A10" s="39" t="s">
        <v>84</v>
      </c>
      <c r="B10" s="39" t="s">
        <v>85</v>
      </c>
      <c r="C10" s="39">
        <v>0</v>
      </c>
      <c r="D10" s="39">
        <v>0</v>
      </c>
      <c r="E10" s="39">
        <v>0</v>
      </c>
      <c r="F10" s="39">
        <v>1</v>
      </c>
      <c r="G10" s="39">
        <v>1</v>
      </c>
      <c r="H10" s="39">
        <v>1</v>
      </c>
      <c r="I10" s="39">
        <v>0</v>
      </c>
      <c r="J10" s="39">
        <v>1</v>
      </c>
      <c r="K10" s="39">
        <v>2</v>
      </c>
      <c r="L10" s="39">
        <v>2</v>
      </c>
      <c r="M10" s="39">
        <v>0</v>
      </c>
      <c r="N10" s="39">
        <v>1</v>
      </c>
      <c r="O10" s="39">
        <v>1</v>
      </c>
      <c r="P10" s="48">
        <f>IFERROR(AVERAGEIF(C10:O10,"&gt;0"),0)</f>
        <v>1.25</v>
      </c>
    </row>
    <row r="11" spans="1:16" ht="14.25" customHeight="1">
      <c r="A11" s="42" t="s">
        <v>88</v>
      </c>
      <c r="B11" s="16" t="s">
        <v>89</v>
      </c>
      <c r="C11" s="4">
        <v>0</v>
      </c>
      <c r="D11" s="4">
        <v>0</v>
      </c>
      <c r="E11" s="4">
        <v>0</v>
      </c>
      <c r="F11" s="4">
        <v>2</v>
      </c>
      <c r="G11" s="4">
        <v>2</v>
      </c>
      <c r="H11" s="4">
        <v>1</v>
      </c>
      <c r="I11" s="4">
        <v>1</v>
      </c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2</v>
      </c>
      <c r="P11" s="48">
        <f>IFERROR(AVERAGEIF(C11:O11,"&gt;0"),0)</f>
        <v>1.4285714285714286</v>
      </c>
    </row>
    <row r="12" spans="1:16" ht="14.25" customHeight="1">
      <c r="A12" s="42" t="s">
        <v>96</v>
      </c>
      <c r="B12" s="4" t="s">
        <v>97</v>
      </c>
      <c r="C12" s="4">
        <v>0</v>
      </c>
      <c r="D12" s="4">
        <v>0</v>
      </c>
      <c r="E12" s="4">
        <v>0</v>
      </c>
      <c r="F12" s="4">
        <v>2</v>
      </c>
      <c r="G12" s="4">
        <v>3</v>
      </c>
      <c r="H12" s="4">
        <v>1</v>
      </c>
      <c r="I12" s="4">
        <v>1</v>
      </c>
      <c r="J12" s="4">
        <v>0</v>
      </c>
      <c r="K12" s="4">
        <v>0</v>
      </c>
      <c r="L12" s="4">
        <v>0</v>
      </c>
      <c r="M12" s="4">
        <v>2</v>
      </c>
      <c r="N12" s="4">
        <v>1</v>
      </c>
      <c r="O12" s="4">
        <v>2</v>
      </c>
      <c r="P12" s="48">
        <f>IFERROR(AVERAGEIF(C12:O12,"&gt;0"),0)</f>
        <v>1.7142857142857142</v>
      </c>
    </row>
    <row r="13" spans="1:16" ht="14.25" customHeight="1">
      <c r="A13" s="42" t="s">
        <v>99</v>
      </c>
      <c r="B13" s="4" t="s">
        <v>100</v>
      </c>
      <c r="C13" s="4">
        <v>2</v>
      </c>
      <c r="D13" s="4">
        <v>0</v>
      </c>
      <c r="E13" s="4">
        <v>0</v>
      </c>
      <c r="F13" s="4">
        <v>1</v>
      </c>
      <c r="G13" s="4">
        <v>0</v>
      </c>
      <c r="H13" s="4">
        <v>1</v>
      </c>
      <c r="I13" s="4">
        <v>1</v>
      </c>
      <c r="J13" s="4">
        <v>0</v>
      </c>
      <c r="K13" s="4">
        <v>0</v>
      </c>
      <c r="L13" s="4">
        <v>0</v>
      </c>
      <c r="M13" s="4">
        <v>1</v>
      </c>
      <c r="N13" s="4">
        <v>1</v>
      </c>
      <c r="O13" s="4">
        <v>0</v>
      </c>
      <c r="P13" s="48">
        <f>IFERROR(AVERAGEIF(C13:O13,"&gt;0"),0)</f>
        <v>1.1666666666666667</v>
      </c>
    </row>
    <row r="14" spans="1:16" ht="14.25" customHeight="1">
      <c r="A14" s="42" t="s">
        <v>103</v>
      </c>
      <c r="B14" s="4" t="s">
        <v>104</v>
      </c>
      <c r="C14" s="4">
        <v>0</v>
      </c>
      <c r="D14" s="4">
        <v>0</v>
      </c>
      <c r="E14" s="4">
        <v>0</v>
      </c>
      <c r="F14" s="4">
        <v>3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2</v>
      </c>
      <c r="N14" s="4">
        <v>1</v>
      </c>
      <c r="O14" s="4">
        <v>2</v>
      </c>
      <c r="P14" s="48">
        <f>IFERROR(AVERAGEIF(C14:O14,"&gt;0"),0)</f>
        <v>1.5</v>
      </c>
    </row>
    <row r="15" spans="1:16" ht="14.25" customHeight="1">
      <c r="A15" s="42" t="s">
        <v>107</v>
      </c>
      <c r="B15" s="4" t="s">
        <v>108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8">
        <f>IFERROR(AVERAGEIF(C15:O15,"&gt;0"),0)</f>
        <v>0</v>
      </c>
    </row>
    <row r="16" spans="1:16">
      <c r="A16" s="42" t="s">
        <v>110</v>
      </c>
      <c r="B16" s="15" t="s">
        <v>111</v>
      </c>
      <c r="C16" s="4">
        <v>0</v>
      </c>
      <c r="D16" s="4">
        <v>0</v>
      </c>
      <c r="E16" s="4">
        <v>2</v>
      </c>
      <c r="F16" s="4">
        <v>2</v>
      </c>
      <c r="G16" s="4">
        <v>1</v>
      </c>
      <c r="H16" s="4">
        <v>1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8">
        <f>IFERROR(AVERAGEIF(C16:O16,"&gt;0"),0)</f>
        <v>1.4</v>
      </c>
    </row>
    <row r="17" spans="1:16" ht="14.25" customHeight="1">
      <c r="A17" s="42" t="s">
        <v>116</v>
      </c>
      <c r="B17" s="4" t="s">
        <v>117</v>
      </c>
      <c r="C17" s="4">
        <v>0</v>
      </c>
      <c r="D17" s="4">
        <v>0</v>
      </c>
      <c r="E17" s="4">
        <v>2</v>
      </c>
      <c r="F17" s="4">
        <v>2</v>
      </c>
      <c r="G17" s="4">
        <v>1</v>
      </c>
      <c r="H17" s="4">
        <v>1</v>
      </c>
      <c r="I17" s="4">
        <v>1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1</v>
      </c>
      <c r="P17" s="48">
        <f>IFERROR(AVERAGEIF(C17:O17,"&gt;0"),0)</f>
        <v>1.2857142857142858</v>
      </c>
    </row>
    <row r="18" spans="1:16" ht="14.25" customHeight="1">
      <c r="A18" s="42" t="s">
        <v>122</v>
      </c>
      <c r="B18" s="4" t="s">
        <v>123</v>
      </c>
      <c r="C18" s="4">
        <v>2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  <c r="P18" s="48">
        <f>IFERROR(AVERAGEIF(C18:O18,"&gt;0"),0)</f>
        <v>1.1666666666666667</v>
      </c>
    </row>
    <row r="19" spans="1:16" ht="14.25" customHeight="1">
      <c r="A19" s="42" t="s">
        <v>126</v>
      </c>
      <c r="B19" s="4" t="s">
        <v>127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1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8">
        <f>IFERROR(AVERAGEIF(C19:O19,"&gt;0"),0)</f>
        <v>1</v>
      </c>
    </row>
    <row r="20" spans="1:16" ht="14.25" customHeight="1">
      <c r="A20" s="42" t="s">
        <v>130</v>
      </c>
      <c r="B20" s="4" t="s">
        <v>131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2</v>
      </c>
      <c r="N20" s="4">
        <v>1</v>
      </c>
      <c r="O20" s="4">
        <v>1</v>
      </c>
      <c r="P20" s="48">
        <f>IFERROR(AVERAGEIF(C20:O20,"&gt;0"),0)</f>
        <v>1.25</v>
      </c>
    </row>
    <row r="21" spans="1:16" ht="14.25" customHeight="1">
      <c r="A21" s="42" t="s">
        <v>135</v>
      </c>
      <c r="B21" s="4" t="s">
        <v>136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2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8">
        <f>IFERROR(AVERAGEIF(C21:O21,"&gt;0"),0)</f>
        <v>1.5</v>
      </c>
    </row>
    <row r="22" spans="1:16" ht="14.25" customHeight="1">
      <c r="A22" s="42" t="s">
        <v>139</v>
      </c>
      <c r="B22" s="4" t="s">
        <v>140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8">
        <f>IFERROR(AVERAGEIF(C22:O22,"&gt;0"),0)</f>
        <v>1</v>
      </c>
    </row>
    <row r="23" spans="1:16" ht="14.25" customHeight="1">
      <c r="A23" s="42" t="s">
        <v>141</v>
      </c>
      <c r="B23" s="4" t="s">
        <v>142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8">
        <f>IFERROR(AVERAGEIF(C23:O23,"&gt;0"),0)</f>
        <v>1</v>
      </c>
    </row>
    <row r="24" spans="1:16" ht="14.25" customHeight="1">
      <c r="A24" s="42" t="s">
        <v>143</v>
      </c>
      <c r="B24" s="4" t="s">
        <v>144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8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K6" sqref="K6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55" t="s">
        <v>198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21.95" customHeight="1">
      <c r="A2" s="49" t="s">
        <v>1</v>
      </c>
      <c r="B2" s="49" t="s">
        <v>153</v>
      </c>
      <c r="C2" s="49" t="s">
        <v>18</v>
      </c>
      <c r="D2" s="49" t="s">
        <v>199</v>
      </c>
      <c r="E2" s="49" t="s">
        <v>200</v>
      </c>
      <c r="F2" s="49" t="s">
        <v>201</v>
      </c>
      <c r="G2" s="49" t="s">
        <v>202</v>
      </c>
      <c r="H2" s="49" t="s">
        <v>203</v>
      </c>
      <c r="I2" s="49" t="s">
        <v>12</v>
      </c>
      <c r="J2" s="49" t="s">
        <v>204</v>
      </c>
      <c r="K2" s="49" t="s">
        <v>205</v>
      </c>
      <c r="L2" s="49" t="s">
        <v>206</v>
      </c>
    </row>
    <row r="3" spans="1:12" ht="20.100000000000001" customHeight="1">
      <c r="A3" s="39" t="s">
        <v>130</v>
      </c>
      <c r="B3" s="4" t="s">
        <v>131</v>
      </c>
      <c r="C3" s="29" t="s">
        <v>207</v>
      </c>
      <c r="D3" s="29" t="s">
        <v>208</v>
      </c>
      <c r="E3" s="29" t="s">
        <v>209</v>
      </c>
      <c r="F3" s="30">
        <v>46097</v>
      </c>
      <c r="G3" s="30">
        <v>46250</v>
      </c>
      <c r="H3" s="29">
        <f>IFERROR(G3-F3,"")</f>
        <v>153</v>
      </c>
      <c r="I3" s="29" t="s">
        <v>210</v>
      </c>
      <c r="J3" s="29">
        <v>25</v>
      </c>
      <c r="K3" s="29">
        <v>50</v>
      </c>
      <c r="L3" s="50">
        <f>IFERROR((K3-J3)/J3,"")</f>
        <v>1</v>
      </c>
    </row>
    <row r="4" spans="1:12" ht="20.100000000000001" customHeight="1">
      <c r="A4" s="39" t="s">
        <v>135</v>
      </c>
      <c r="B4" s="4" t="s">
        <v>136</v>
      </c>
      <c r="C4" s="36" t="s">
        <v>211</v>
      </c>
      <c r="D4" s="36" t="s">
        <v>212</v>
      </c>
      <c r="E4" s="36" t="s">
        <v>209</v>
      </c>
      <c r="F4" s="37">
        <v>46155</v>
      </c>
      <c r="G4" s="37">
        <v>46247</v>
      </c>
      <c r="H4" s="36">
        <f>IFERROR(G4-F4,"")</f>
        <v>92</v>
      </c>
      <c r="I4" s="36" t="s">
        <v>210</v>
      </c>
      <c r="J4" s="36">
        <v>40</v>
      </c>
      <c r="K4" s="36">
        <v>50</v>
      </c>
      <c r="L4" s="51">
        <f>IFERROR((K4-J4)/J4,"")</f>
        <v>0.25</v>
      </c>
    </row>
    <row r="5" spans="1:12" ht="20.100000000000001" customHeight="1">
      <c r="A5" s="39" t="s">
        <v>139</v>
      </c>
      <c r="B5" s="4" t="s">
        <v>140</v>
      </c>
      <c r="C5" s="29" t="s">
        <v>213</v>
      </c>
      <c r="D5" s="29" t="s">
        <v>214</v>
      </c>
      <c r="E5" s="29" t="s">
        <v>209</v>
      </c>
      <c r="F5" s="30">
        <v>46174</v>
      </c>
      <c r="G5" s="30">
        <v>46218</v>
      </c>
      <c r="H5" s="29">
        <f>IFERROR(G5-F5,"")</f>
        <v>44</v>
      </c>
      <c r="I5" s="29" t="s">
        <v>210</v>
      </c>
      <c r="J5" s="29">
        <v>10</v>
      </c>
      <c r="K5" s="29">
        <v>11</v>
      </c>
      <c r="L5" s="50">
        <f>IFERROR((K5-J5)/J5,"")</f>
        <v>0.1</v>
      </c>
    </row>
    <row r="6" spans="1:12" ht="20.100000000000001" customHeight="1">
      <c r="A6" s="39" t="s">
        <v>141</v>
      </c>
      <c r="B6" s="4" t="s">
        <v>142</v>
      </c>
      <c r="C6" s="36" t="s">
        <v>44</v>
      </c>
      <c r="D6" s="36" t="s">
        <v>215</v>
      </c>
      <c r="E6" s="36" t="s">
        <v>209</v>
      </c>
      <c r="F6" s="37">
        <v>46195</v>
      </c>
      <c r="G6" s="37">
        <v>46287</v>
      </c>
      <c r="H6" s="36">
        <f>IFERROR(G6-F6,"")</f>
        <v>92</v>
      </c>
      <c r="I6" s="36" t="s">
        <v>210</v>
      </c>
      <c r="J6" s="36">
        <v>30</v>
      </c>
      <c r="K6" s="36">
        <v>32</v>
      </c>
      <c r="L6" s="51">
        <f>IFERROR((K6-J6)/J6,"")</f>
        <v>6.6666666666666666E-2</v>
      </c>
    </row>
    <row r="7" spans="1:12" ht="20.100000000000001" customHeight="1">
      <c r="A7" s="39" t="s">
        <v>143</v>
      </c>
      <c r="B7" s="12" t="s">
        <v>144</v>
      </c>
      <c r="C7" s="29" t="s">
        <v>44</v>
      </c>
      <c r="D7" s="29" t="s">
        <v>215</v>
      </c>
      <c r="E7" s="29" t="s">
        <v>209</v>
      </c>
      <c r="F7" s="30">
        <v>46195</v>
      </c>
      <c r="G7" s="30">
        <v>46287</v>
      </c>
      <c r="H7" s="29">
        <f>IFERROR(G7-F7,"")</f>
        <v>92</v>
      </c>
      <c r="I7" s="29" t="s">
        <v>210</v>
      </c>
      <c r="J7" s="29">
        <v>40</v>
      </c>
      <c r="K7" s="29">
        <v>45</v>
      </c>
      <c r="L7" s="50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3" priority="1" operator="equal">
      <formula>"Completed"</formula>
    </cfRule>
    <cfRule type="cellIs" dxfId="2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55" t="s">
        <v>216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1.95" customHeight="1">
      <c r="A2" s="52" t="s">
        <v>217</v>
      </c>
      <c r="B2" s="52" t="s">
        <v>218</v>
      </c>
      <c r="C2" s="52" t="s">
        <v>219</v>
      </c>
      <c r="D2" s="52" t="s">
        <v>220</v>
      </c>
      <c r="E2" s="52" t="s">
        <v>221</v>
      </c>
      <c r="F2" s="52" t="s">
        <v>201</v>
      </c>
      <c r="G2" s="52" t="s">
        <v>222</v>
      </c>
      <c r="H2" s="52" t="s">
        <v>12</v>
      </c>
      <c r="I2" s="52" t="s">
        <v>223</v>
      </c>
      <c r="J2" s="52" t="s">
        <v>224</v>
      </c>
      <c r="K2" s="52" t="s">
        <v>225</v>
      </c>
      <c r="L2" s="52" t="s">
        <v>226</v>
      </c>
      <c r="M2" s="52" t="s">
        <v>23</v>
      </c>
    </row>
    <row r="3" spans="1:13" ht="20.100000000000001" customHeight="1">
      <c r="A3" s="29" t="s">
        <v>227</v>
      </c>
      <c r="B3" s="29" t="s">
        <v>228</v>
      </c>
      <c r="C3" s="29" t="s">
        <v>229</v>
      </c>
      <c r="D3" s="29" t="s">
        <v>187</v>
      </c>
      <c r="E3" s="29" t="s">
        <v>230</v>
      </c>
      <c r="F3" s="30">
        <v>46263</v>
      </c>
      <c r="G3" s="29" t="s">
        <v>231</v>
      </c>
      <c r="H3" s="29" t="s">
        <v>232</v>
      </c>
      <c r="I3" s="29" t="s">
        <v>233</v>
      </c>
      <c r="J3" s="30">
        <v>46195</v>
      </c>
      <c r="K3" s="29">
        <v>90</v>
      </c>
      <c r="L3" s="29"/>
      <c r="M3" s="29" t="s">
        <v>234</v>
      </c>
    </row>
    <row r="4" spans="1:13" ht="20.100000000000001" customHeight="1">
      <c r="A4" s="36" t="s">
        <v>235</v>
      </c>
      <c r="B4" s="36" t="s">
        <v>236</v>
      </c>
      <c r="C4" s="36" t="s">
        <v>237</v>
      </c>
      <c r="D4" s="36" t="s">
        <v>238</v>
      </c>
      <c r="E4" s="36" t="s">
        <v>239</v>
      </c>
      <c r="F4" s="37">
        <v>46223</v>
      </c>
      <c r="G4" s="36" t="s">
        <v>240</v>
      </c>
      <c r="H4" s="36" t="s">
        <v>232</v>
      </c>
      <c r="I4" s="36" t="s">
        <v>241</v>
      </c>
      <c r="J4" s="37">
        <v>46198</v>
      </c>
      <c r="K4" s="36">
        <v>75</v>
      </c>
      <c r="L4" s="36"/>
      <c r="M4" s="36" t="s">
        <v>30</v>
      </c>
    </row>
    <row r="5" spans="1:13" ht="20.100000000000001" customHeight="1">
      <c r="A5" s="29" t="s">
        <v>242</v>
      </c>
      <c r="B5" s="29" t="s">
        <v>243</v>
      </c>
      <c r="C5" s="29" t="s">
        <v>244</v>
      </c>
      <c r="D5" s="29" t="s">
        <v>190</v>
      </c>
      <c r="E5" s="29" t="s">
        <v>245</v>
      </c>
      <c r="F5" s="30">
        <v>46227</v>
      </c>
      <c r="G5" s="29" t="s">
        <v>246</v>
      </c>
      <c r="H5" s="29" t="s">
        <v>232</v>
      </c>
      <c r="I5" s="29"/>
      <c r="J5" s="30">
        <v>46196</v>
      </c>
      <c r="K5" s="29"/>
      <c r="L5" s="29"/>
      <c r="M5" s="29"/>
    </row>
    <row r="6" spans="1:13" ht="20.100000000000001" customHeight="1">
      <c r="A6" s="36" t="s">
        <v>247</v>
      </c>
      <c r="B6" s="36" t="s">
        <v>248</v>
      </c>
      <c r="C6" s="36" t="s">
        <v>38</v>
      </c>
      <c r="D6" s="36" t="s">
        <v>249</v>
      </c>
      <c r="E6" s="36" t="s">
        <v>230</v>
      </c>
      <c r="F6" s="37">
        <v>46236</v>
      </c>
      <c r="G6" s="36" t="s">
        <v>231</v>
      </c>
      <c r="H6" s="36" t="s">
        <v>232</v>
      </c>
      <c r="I6" s="36"/>
      <c r="J6" s="37">
        <v>46195</v>
      </c>
      <c r="K6" s="36"/>
      <c r="L6" s="36"/>
      <c r="M6" s="36"/>
    </row>
    <row r="7" spans="1:13" ht="20.100000000000001" customHeight="1">
      <c r="A7" s="29" t="s">
        <v>250</v>
      </c>
      <c r="B7" s="29" t="s">
        <v>251</v>
      </c>
      <c r="C7" s="29" t="s">
        <v>252</v>
      </c>
      <c r="D7" s="29" t="s">
        <v>253</v>
      </c>
      <c r="E7" s="29" t="s">
        <v>230</v>
      </c>
      <c r="F7" s="30">
        <v>46235</v>
      </c>
      <c r="G7" s="29" t="s">
        <v>231</v>
      </c>
      <c r="H7" s="29" t="s">
        <v>232</v>
      </c>
      <c r="I7" s="29"/>
      <c r="J7" s="30">
        <v>46195</v>
      </c>
      <c r="K7" s="29"/>
      <c r="L7" s="29"/>
      <c r="M7" s="29"/>
    </row>
  </sheetData>
  <autoFilter ref="A1:M7" xr:uid="{00000000-0009-0000-0000-000005000000}"/>
  <mergeCells count="1">
    <mergeCell ref="A1:M1"/>
  </mergeCells>
  <conditionalFormatting sqref="G3:G48">
    <cfRule type="cellIs" dxfId="1" priority="1" operator="equal">
      <formula>"Critical"</formula>
    </cfRule>
    <cfRule type="cellIs" dxfId="0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81" t="s">
        <v>254</v>
      </c>
      <c r="B1" s="86"/>
      <c r="C1" s="86"/>
      <c r="D1" s="86"/>
      <c r="E1" s="86"/>
      <c r="F1" s="86"/>
      <c r="G1" s="86"/>
      <c r="H1" s="86"/>
      <c r="I1" s="86"/>
      <c r="J1" s="86"/>
    </row>
    <row r="3" spans="1:10" ht="21.95" customHeight="1">
      <c r="A3" s="82" t="s">
        <v>255</v>
      </c>
      <c r="B3" s="87"/>
      <c r="C3" s="73" t="s">
        <v>256</v>
      </c>
      <c r="D3" s="87"/>
      <c r="E3" s="77" t="s">
        <v>134</v>
      </c>
      <c r="F3" s="87"/>
      <c r="G3" s="72" t="s">
        <v>257</v>
      </c>
      <c r="H3" s="87"/>
      <c r="I3" s="74" t="s">
        <v>258</v>
      </c>
      <c r="J3" s="87"/>
    </row>
    <row r="4" spans="1:10" ht="21.95" customHeight="1">
      <c r="A4" s="66">
        <f>COUNTA('Bench Master'!B3:B200)</f>
        <v>22</v>
      </c>
      <c r="B4" s="87"/>
      <c r="C4" s="66">
        <f>COUNTIF('Bench Master'!L3:L200,"Available")+COUNTIF('Bench Master'!L3:L200,"Partial Available")</f>
        <v>12</v>
      </c>
      <c r="D4" s="87"/>
      <c r="E4" s="66">
        <f>COUNTIF('Bench Master'!L3:L200,"In Training")</f>
        <v>5</v>
      </c>
      <c r="F4" s="87"/>
      <c r="G4" s="84">
        <f ca="1">IFERROR(AVERAGEIF('Bench Master'!K3:K200,"&gt;0"),0)</f>
        <v>336.59090909090907</v>
      </c>
      <c r="H4" s="87"/>
      <c r="I4" s="66">
        <f>COUNTIF('Demand Pipeline'!H3:H98,"Open")</f>
        <v>5</v>
      </c>
      <c r="J4" s="87"/>
    </row>
    <row r="5" spans="1:10" ht="21.95" customHeight="1">
      <c r="A5" s="75" t="s">
        <v>259</v>
      </c>
      <c r="B5" s="87"/>
      <c r="C5" s="75" t="s">
        <v>260</v>
      </c>
      <c r="D5" s="87"/>
      <c r="E5" s="75" t="s">
        <v>261</v>
      </c>
      <c r="F5" s="87"/>
      <c r="G5" s="75" t="s">
        <v>262</v>
      </c>
      <c r="H5" s="87"/>
      <c r="I5" s="75" t="s">
        <v>263</v>
      </c>
      <c r="J5" s="87"/>
    </row>
    <row r="6" spans="1:10" ht="21.95" customHeight="1"/>
    <row r="7" spans="1:10" ht="21.95" customHeight="1"/>
    <row r="8" spans="1:10" ht="21.95" customHeight="1">
      <c r="A8" s="72" t="s">
        <v>264</v>
      </c>
      <c r="B8" s="87"/>
      <c r="C8" s="73" t="s">
        <v>265</v>
      </c>
      <c r="D8" s="87"/>
      <c r="E8" s="74" t="s">
        <v>266</v>
      </c>
      <c r="F8" s="87"/>
      <c r="G8" s="77" t="s">
        <v>267</v>
      </c>
      <c r="H8" s="87"/>
      <c r="I8" s="73" t="s">
        <v>268</v>
      </c>
      <c r="J8" s="87"/>
    </row>
    <row r="9" spans="1:10" ht="21.95" customHeight="1">
      <c r="A9" s="66">
        <f>COUNTIF('Demand Pipeline'!G3:G98,"Critical")</f>
        <v>1</v>
      </c>
      <c r="B9" s="87"/>
      <c r="C9" s="66">
        <f ca="1">COUNTIF('Demand Pipeline'!J3:J98,"&gt;="&amp;TODAY()-7)</f>
        <v>2</v>
      </c>
      <c r="D9" s="87"/>
      <c r="E9" s="66">
        <f>IFERROR(AVERAGEIF('Demand Pipeline'!K3:K98,"&gt;0"),0)</f>
        <v>82.5</v>
      </c>
      <c r="F9" s="87"/>
      <c r="G9" s="66">
        <f ca="1">COUNTIF('Bench Master'!K3:K200,"&gt;15")</f>
        <v>20</v>
      </c>
      <c r="H9" s="87"/>
      <c r="I9" s="66">
        <f ca="1">COUNTIFS('Bench Master'!N3:N200,"&gt;="&amp;TODAY(),'Bench Master'!N3:N200,"&lt;="&amp;TODAY()+7)</f>
        <v>0</v>
      </c>
      <c r="J9" s="87"/>
    </row>
    <row r="10" spans="1:10" ht="21.95" customHeight="1">
      <c r="A10" s="75" t="s">
        <v>269</v>
      </c>
      <c r="B10" s="87"/>
      <c r="C10" s="75" t="s">
        <v>270</v>
      </c>
      <c r="D10" s="87"/>
      <c r="E10" s="75" t="s">
        <v>271</v>
      </c>
      <c r="F10" s="87"/>
      <c r="G10" s="75" t="s">
        <v>272</v>
      </c>
      <c r="H10" s="87"/>
      <c r="I10" s="75" t="s">
        <v>273</v>
      </c>
      <c r="J10" s="87"/>
    </row>
    <row r="11" spans="1:10" ht="21.95" customHeight="1"/>
    <row r="12" spans="1:10" ht="21.95" customHeight="1"/>
    <row r="14" spans="1:10" ht="20.100000000000001" customHeight="1">
      <c r="A14" s="67" t="s">
        <v>274</v>
      </c>
      <c r="B14" s="88"/>
      <c r="C14" s="88"/>
      <c r="D14" s="88"/>
      <c r="E14" s="88"/>
      <c r="F14" s="88"/>
      <c r="G14" s="88"/>
      <c r="H14" s="88"/>
      <c r="I14" s="88"/>
      <c r="J14" s="87"/>
    </row>
    <row r="16" spans="1:10" ht="20.100000000000001" customHeight="1">
      <c r="A16" s="76" t="s">
        <v>275</v>
      </c>
      <c r="B16" s="88"/>
      <c r="C16" s="88"/>
      <c r="D16" s="88"/>
      <c r="E16" s="88"/>
      <c r="F16" s="88"/>
      <c r="G16" s="88"/>
      <c r="H16" s="88"/>
      <c r="I16" s="88"/>
      <c r="J16" s="87"/>
    </row>
    <row r="17" spans="1:10" ht="21.95" customHeight="1">
      <c r="A17" s="77" t="s">
        <v>128</v>
      </c>
      <c r="B17" s="87"/>
      <c r="C17" s="76" t="s">
        <v>31</v>
      </c>
      <c r="D17" s="87"/>
      <c r="E17" s="72" t="s">
        <v>276</v>
      </c>
      <c r="F17" s="87"/>
      <c r="G17" s="73" t="s">
        <v>277</v>
      </c>
      <c r="H17" s="87"/>
      <c r="I17" s="78" t="s">
        <v>278</v>
      </c>
      <c r="J17" s="87"/>
    </row>
    <row r="18" spans="1:10" ht="21.95" customHeight="1">
      <c r="A18" s="66">
        <f>COUNTIF('Bench Master'!M3:M200,"Learner Pool")</f>
        <v>7</v>
      </c>
      <c r="B18" s="87"/>
      <c r="C18" s="66">
        <f>COUNTIF('Bench Master'!M3:M200,"Innovation Pool")</f>
        <v>16</v>
      </c>
      <c r="D18" s="87"/>
      <c r="E18" s="66">
        <f ca="1">COUNTIFS('Pool Review Log'!I3:I46,"Pending",'Pool Review Log'!D3:D46,"&lt;="&amp;TODAY()+7)</f>
        <v>0</v>
      </c>
      <c r="F18" s="87"/>
      <c r="G18" s="66">
        <f>COUNTIF('Pool Review Log'!I3:I46,"Promoted")</f>
        <v>0</v>
      </c>
      <c r="H18" s="87"/>
      <c r="I18" s="66">
        <f>COUNTIF('Pool Review Log'!I3:I46,"Exit")</f>
        <v>0</v>
      </c>
      <c r="J18" s="87"/>
    </row>
    <row r="19" spans="1:10" ht="21.95" customHeight="1">
      <c r="A19" s="75" t="s">
        <v>279</v>
      </c>
      <c r="B19" s="87"/>
      <c r="C19" s="75" t="s">
        <v>280</v>
      </c>
      <c r="D19" s="87"/>
      <c r="E19" s="75" t="s">
        <v>281</v>
      </c>
      <c r="F19" s="87"/>
      <c r="G19" s="75" t="s">
        <v>282</v>
      </c>
      <c r="H19" s="87"/>
      <c r="I19" s="75" t="s">
        <v>283</v>
      </c>
      <c r="J19" s="87"/>
    </row>
    <row r="20" spans="1:10" ht="20.100000000000001" customHeight="1">
      <c r="A20" s="70" t="s">
        <v>284</v>
      </c>
      <c r="B20" s="88"/>
      <c r="C20" s="88"/>
      <c r="D20" s="88"/>
      <c r="E20" s="88"/>
      <c r="F20" s="88"/>
      <c r="G20" s="88"/>
      <c r="H20" s="88"/>
      <c r="I20" s="88"/>
      <c r="J20" s="87"/>
    </row>
    <row r="22" spans="1:10" ht="20.100000000000001" customHeight="1">
      <c r="A22" s="68" t="s">
        <v>285</v>
      </c>
      <c r="B22" s="88"/>
      <c r="C22" s="88"/>
      <c r="D22" s="88"/>
      <c r="E22" s="88"/>
      <c r="F22" s="88"/>
      <c r="G22" s="88"/>
      <c r="H22" s="88"/>
      <c r="I22" s="88"/>
      <c r="J22" s="87"/>
    </row>
    <row r="23" spans="1:10" ht="21.95" customHeight="1">
      <c r="A23" s="79" t="s">
        <v>32</v>
      </c>
      <c r="B23" s="87"/>
      <c r="C23" s="80" t="s">
        <v>286</v>
      </c>
      <c r="D23" s="87"/>
      <c r="E23" s="69" t="s">
        <v>106</v>
      </c>
      <c r="F23" s="87"/>
      <c r="G23" s="71" t="s">
        <v>138</v>
      </c>
      <c r="H23" s="87"/>
      <c r="I23" s="79" t="s">
        <v>287</v>
      </c>
      <c r="J23" s="87"/>
    </row>
    <row r="24" spans="1:10" ht="21.95" customHeight="1">
      <c r="A24" s="66">
        <f>COUNTIF('Bench Master'!Q3:Q100,"🚨 Critical (1Y+)")</f>
        <v>5</v>
      </c>
      <c r="B24" s="87"/>
      <c r="C24" s="66">
        <f>COUNTIF('Bench Master'!Q3:Q100,"🔴 Action Needed (6M+)")</f>
        <v>6</v>
      </c>
      <c r="D24" s="87"/>
      <c r="E24" s="66">
        <f>COUNTIF('Bench Master'!Q3:Q100,"⚠ Watch (3M+)")</f>
        <v>6</v>
      </c>
      <c r="F24" s="87"/>
      <c r="G24" s="66">
        <f>COUNTIF('Bench Master'!Q3:Q100,"✅ On Track")</f>
        <v>4</v>
      </c>
      <c r="H24" s="87"/>
      <c r="I24" s="66">
        <f ca="1">IFERROR(MAX('Bench Master'!K3:K100),"—")</f>
        <v>1292</v>
      </c>
      <c r="J24" s="87"/>
    </row>
    <row r="25" spans="1:10" ht="21.95" customHeight="1">
      <c r="A25" s="75" t="s">
        <v>288</v>
      </c>
      <c r="B25" s="87"/>
      <c r="C25" s="75" t="s">
        <v>289</v>
      </c>
      <c r="D25" s="87"/>
      <c r="E25" s="75" t="s">
        <v>290</v>
      </c>
      <c r="F25" s="87"/>
      <c r="G25" s="75" t="s">
        <v>291</v>
      </c>
      <c r="H25" s="87"/>
      <c r="I25" s="75" t="s">
        <v>292</v>
      </c>
      <c r="J25" s="87"/>
    </row>
    <row r="26" spans="1:10" ht="18" customHeight="1">
      <c r="A26" s="83" t="s">
        <v>293</v>
      </c>
      <c r="B26" s="88"/>
      <c r="C26" s="88"/>
      <c r="D26" s="88"/>
      <c r="E26" s="88"/>
      <c r="F26" s="88"/>
      <c r="G26" s="88"/>
      <c r="H26" s="88"/>
      <c r="I26" s="88"/>
      <c r="J26" s="87"/>
    </row>
  </sheetData>
  <mergeCells count="66"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E8:F8"/>
    <mergeCell ref="G10:H10"/>
    <mergeCell ref="A16:J16"/>
    <mergeCell ref="A17:B17"/>
    <mergeCell ref="C17:D17"/>
    <mergeCell ref="I17:J17"/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85" t="s">
        <v>294</v>
      </c>
      <c r="B1" s="86"/>
      <c r="C1" s="86"/>
    </row>
    <row r="3" spans="1:3">
      <c r="A3" s="27" t="s">
        <v>295</v>
      </c>
    </row>
    <row r="4" spans="1:3">
      <c r="A4" s="36" t="s">
        <v>30</v>
      </c>
    </row>
    <row r="5" spans="1:3">
      <c r="A5" s="36" t="s">
        <v>43</v>
      </c>
    </row>
    <row r="6" spans="1:3">
      <c r="A6" s="29" t="s">
        <v>134</v>
      </c>
    </row>
    <row r="7" spans="1:3">
      <c r="A7" s="36" t="s">
        <v>73</v>
      </c>
    </row>
    <row r="8" spans="1:3">
      <c r="A8" s="29" t="s">
        <v>81</v>
      </c>
    </row>
    <row r="9" spans="1:3">
      <c r="A9" s="36" t="s">
        <v>93</v>
      </c>
    </row>
    <row r="11" spans="1:3">
      <c r="A11" s="27" t="s">
        <v>296</v>
      </c>
    </row>
    <row r="12" spans="1:3">
      <c r="A12" s="29" t="s">
        <v>297</v>
      </c>
    </row>
    <row r="13" spans="1:3">
      <c r="A13" s="36" t="s">
        <v>298</v>
      </c>
    </row>
    <row r="14" spans="1:3">
      <c r="A14" s="29" t="s">
        <v>212</v>
      </c>
    </row>
    <row r="15" spans="1:3">
      <c r="A15" s="36" t="s">
        <v>299</v>
      </c>
    </row>
    <row r="16" spans="1:3">
      <c r="A16" s="29" t="s">
        <v>300</v>
      </c>
    </row>
    <row r="17" spans="1:1">
      <c r="A17" s="36" t="s">
        <v>301</v>
      </c>
    </row>
    <row r="18" spans="1:1">
      <c r="A18" s="29" t="s">
        <v>302</v>
      </c>
    </row>
    <row r="19" spans="1:1">
      <c r="A19" s="36" t="s">
        <v>303</v>
      </c>
    </row>
    <row r="21" spans="1:1">
      <c r="A21" s="27" t="s">
        <v>304</v>
      </c>
    </row>
    <row r="22" spans="1:1">
      <c r="A22" s="29" t="s">
        <v>240</v>
      </c>
    </row>
    <row r="23" spans="1:1">
      <c r="A23" s="36" t="s">
        <v>231</v>
      </c>
    </row>
    <row r="24" spans="1:1">
      <c r="A24" s="29" t="s">
        <v>182</v>
      </c>
    </row>
    <row r="25" spans="1:1">
      <c r="A25" s="36" t="s">
        <v>246</v>
      </c>
    </row>
    <row r="27" spans="1:1">
      <c r="A27" s="27" t="s">
        <v>305</v>
      </c>
    </row>
    <row r="28" spans="1:1">
      <c r="A28" s="29" t="s">
        <v>209</v>
      </c>
    </row>
    <row r="29" spans="1:1">
      <c r="A29" s="36" t="s">
        <v>306</v>
      </c>
    </row>
    <row r="30" spans="1:1">
      <c r="A30" s="29" t="s">
        <v>307</v>
      </c>
    </row>
    <row r="31" spans="1:1">
      <c r="A31" s="36" t="s">
        <v>308</v>
      </c>
    </row>
    <row r="32" spans="1:1">
      <c r="A32" s="29" t="s">
        <v>309</v>
      </c>
    </row>
    <row r="34" spans="1:1">
      <c r="A34" s="27" t="s">
        <v>310</v>
      </c>
    </row>
    <row r="35" spans="1:1">
      <c r="A35" s="36" t="s">
        <v>311</v>
      </c>
    </row>
    <row r="36" spans="1:1">
      <c r="A36" s="29" t="s">
        <v>82</v>
      </c>
    </row>
    <row r="37" spans="1:1">
      <c r="A37" s="36" t="s">
        <v>312</v>
      </c>
    </row>
    <row r="38" spans="1:1">
      <c r="A38" s="29" t="s">
        <v>313</v>
      </c>
    </row>
    <row r="39" spans="1:1">
      <c r="A39" s="36" t="s">
        <v>314</v>
      </c>
    </row>
    <row r="40" spans="1:1">
      <c r="A40" s="29" t="s">
        <v>315</v>
      </c>
    </row>
    <row r="41" spans="1:1">
      <c r="A41" s="36" t="s">
        <v>34</v>
      </c>
    </row>
    <row r="43" spans="1:1">
      <c r="A43" s="27" t="s">
        <v>316</v>
      </c>
    </row>
    <row r="44" spans="1:1">
      <c r="A44" s="53" t="s">
        <v>317</v>
      </c>
    </row>
    <row r="45" spans="1:1">
      <c r="A45" s="53" t="s">
        <v>318</v>
      </c>
    </row>
    <row r="46" spans="1:1">
      <c r="A46" s="53" t="s">
        <v>319</v>
      </c>
    </row>
    <row r="47" spans="1:1">
      <c r="A47" s="53" t="s">
        <v>320</v>
      </c>
    </row>
    <row r="48" spans="1:1">
      <c r="A48" s="54" t="s">
        <v>321</v>
      </c>
    </row>
    <row r="49" spans="1:1">
      <c r="A49" s="54" t="s">
        <v>322</v>
      </c>
    </row>
    <row r="51" spans="1:1">
      <c r="A51" s="43" t="s">
        <v>323</v>
      </c>
    </row>
    <row r="52" spans="1:1">
      <c r="A52" s="29" t="s">
        <v>324</v>
      </c>
    </row>
    <row r="53" spans="1:1">
      <c r="A53" s="36" t="s">
        <v>325</v>
      </c>
    </row>
    <row r="54" spans="1:1">
      <c r="A54" s="29" t="s">
        <v>326</v>
      </c>
    </row>
    <row r="55" spans="1:1">
      <c r="A55" s="36" t="s">
        <v>184</v>
      </c>
    </row>
    <row r="56" spans="1:1">
      <c r="A56" s="29" t="s">
        <v>327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2026-06-30T10:42:03Z</dcterms:modified>
  <cp:category/>
  <cp:contentStatus/>
</cp:coreProperties>
</file>